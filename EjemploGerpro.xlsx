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13_ncr:1_{08C04859-908C-6948-A950-B1931B6AE288}" xr6:coauthVersionLast="47" xr6:coauthVersionMax="47" xr10:uidLastSave="{00000000-0000-0000-0000-000000000000}"/>
  <bookViews>
    <workbookView xWindow="0" yWindow="680" windowWidth="30240" windowHeight="18960" activeTab="2" xr2:uid="{72542BF9-9463-A347-B00F-358CF52C4AF6}"/>
  </bookViews>
  <sheets>
    <sheet name="Ejemplo" sheetId="1" r:id="rId1"/>
    <sheet name="Ejemplo 2" sheetId="3" r:id="rId2"/>
    <sheet name="Prueb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  <c r="W13" i="1"/>
  <c r="K10" i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J10" i="1"/>
  <c r="Y15" i="1"/>
  <c r="Y19" i="1" s="1"/>
  <c r="E15" i="1"/>
  <c r="E19" i="1" s="1"/>
  <c r="D15" i="1"/>
  <c r="D19" i="1" s="1"/>
  <c r="J11" i="1"/>
  <c r="K12" i="1" s="1"/>
  <c r="AA7" i="1"/>
  <c r="AA15" i="1" s="1"/>
  <c r="AA19" i="1" s="1"/>
  <c r="Z7" i="1"/>
  <c r="Z15" i="1" s="1"/>
  <c r="Z19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J15" i="1" s="1"/>
  <c r="J19" i="1" s="1"/>
  <c r="I7" i="1"/>
  <c r="I15" i="1" s="1"/>
  <c r="I19" i="1" s="1"/>
  <c r="H7" i="1"/>
  <c r="H15" i="1" s="1"/>
  <c r="H19" i="1" s="1"/>
  <c r="G7" i="1"/>
  <c r="G15" i="1" s="1"/>
  <c r="G19" i="1" s="1"/>
  <c r="F7" i="1"/>
  <c r="AE7" i="1" s="1"/>
  <c r="E7" i="1"/>
  <c r="D7" i="1"/>
  <c r="C7" i="1"/>
  <c r="C15" i="1" s="1"/>
  <c r="C19" i="1" s="1"/>
  <c r="B7" i="1"/>
  <c r="B15" i="1" s="1"/>
  <c r="V27" i="1"/>
  <c r="J24" i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AO26" i="2"/>
  <c r="AO19" i="2"/>
  <c r="AR14" i="2"/>
  <c r="AO17" i="2"/>
  <c r="AO16" i="2"/>
  <c r="AO23" i="2"/>
  <c r="AO21" i="2"/>
  <c r="AO13" i="2"/>
  <c r="AO11" i="2"/>
  <c r="W13" i="3"/>
  <c r="V13" i="3"/>
  <c r="V12" i="3"/>
  <c r="U12" i="3"/>
  <c r="T12" i="3"/>
  <c r="S12" i="3"/>
  <c r="R12" i="3"/>
  <c r="Q12" i="3"/>
  <c r="P12" i="3"/>
  <c r="O12" i="3"/>
  <c r="N12" i="3"/>
  <c r="M12" i="3"/>
  <c r="L12" i="3"/>
  <c r="K11" i="3"/>
  <c r="L11" i="3"/>
  <c r="M11" i="3"/>
  <c r="N11" i="3"/>
  <c r="O11" i="3"/>
  <c r="P11" i="3"/>
  <c r="Q11" i="3"/>
  <c r="R11" i="3"/>
  <c r="S11" i="3"/>
  <c r="T11" i="3"/>
  <c r="U11" i="3"/>
  <c r="K12" i="3"/>
  <c r="J11" i="3"/>
  <c r="K10" i="3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J10" i="3"/>
  <c r="E25" i="3"/>
  <c r="AE17" i="3"/>
  <c r="AA7" i="3"/>
  <c r="AA15" i="3" s="1"/>
  <c r="AA19" i="3" s="1"/>
  <c r="Z7" i="3"/>
  <c r="Z15" i="3" s="1"/>
  <c r="Z19" i="3" s="1"/>
  <c r="Y7" i="3"/>
  <c r="Y15" i="3" s="1"/>
  <c r="Y19" i="3" s="1"/>
  <c r="X7" i="3"/>
  <c r="W7" i="3"/>
  <c r="V7" i="3"/>
  <c r="U7" i="3"/>
  <c r="T7" i="3"/>
  <c r="S7" i="3"/>
  <c r="R7" i="3"/>
  <c r="Q7" i="3"/>
  <c r="P7" i="3"/>
  <c r="O7" i="3"/>
  <c r="N7" i="3"/>
  <c r="N15" i="3" s="1"/>
  <c r="N19" i="3" s="1"/>
  <c r="M7" i="3"/>
  <c r="M15" i="3" s="1"/>
  <c r="M19" i="3" s="1"/>
  <c r="L7" i="3"/>
  <c r="L15" i="3" s="1"/>
  <c r="L19" i="3" s="1"/>
  <c r="K7" i="3"/>
  <c r="K15" i="3" s="1"/>
  <c r="K19" i="3" s="1"/>
  <c r="J7" i="3"/>
  <c r="J15" i="3" s="1"/>
  <c r="J19" i="3" s="1"/>
  <c r="I7" i="3"/>
  <c r="I15" i="3" s="1"/>
  <c r="I19" i="3" s="1"/>
  <c r="H7" i="3"/>
  <c r="H15" i="3" s="1"/>
  <c r="H19" i="3" s="1"/>
  <c r="G7" i="3"/>
  <c r="G15" i="3" s="1"/>
  <c r="G19" i="3" s="1"/>
  <c r="F7" i="3"/>
  <c r="F15" i="3" s="1"/>
  <c r="F19" i="3" s="1"/>
  <c r="E7" i="3"/>
  <c r="E15" i="3" s="1"/>
  <c r="E19" i="3" s="1"/>
  <c r="D7" i="3"/>
  <c r="D15" i="3" s="1"/>
  <c r="D19" i="3" s="1"/>
  <c r="C7" i="3"/>
  <c r="C15" i="3" s="1"/>
  <c r="C19" i="3" s="1"/>
  <c r="B7" i="3"/>
  <c r="AE7" i="3" s="1"/>
  <c r="AE5" i="3"/>
  <c r="AE4" i="3"/>
  <c r="AE5" i="1"/>
  <c r="AE4" i="1"/>
  <c r="AE17" i="1"/>
  <c r="AD14" i="2"/>
  <c r="AE17" i="2"/>
  <c r="AD17" i="2"/>
  <c r="I14" i="2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H14" i="2"/>
  <c r="E29" i="2"/>
  <c r="H16" i="2"/>
  <c r="H15" i="2"/>
  <c r="I16" i="2" s="1"/>
  <c r="J25" i="1"/>
  <c r="K26" i="1" s="1"/>
  <c r="E25" i="1"/>
  <c r="AB11" i="2"/>
  <c r="AL11" i="2"/>
  <c r="AL19" i="2" s="1"/>
  <c r="AL23" i="2" s="1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W11" i="2" s="1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B9" i="2"/>
  <c r="C8" i="2"/>
  <c r="C11" i="2" s="1"/>
  <c r="C19" i="2" s="1"/>
  <c r="C23" i="2" s="1"/>
  <c r="D8" i="2"/>
  <c r="D11" i="2" s="1"/>
  <c r="D19" i="2" s="1"/>
  <c r="D23" i="2" s="1"/>
  <c r="E8" i="2"/>
  <c r="F8" i="2"/>
  <c r="G8" i="2"/>
  <c r="H8" i="2"/>
  <c r="I8" i="2"/>
  <c r="J8" i="2"/>
  <c r="K8" i="2"/>
  <c r="L8" i="2"/>
  <c r="M8" i="2"/>
  <c r="M11" i="2" s="1"/>
  <c r="N8" i="2"/>
  <c r="N11" i="2" s="1"/>
  <c r="O8" i="2"/>
  <c r="O11" i="2" s="1"/>
  <c r="P8" i="2"/>
  <c r="Q8" i="2"/>
  <c r="R8" i="2"/>
  <c r="S8" i="2"/>
  <c r="T8" i="2"/>
  <c r="U8" i="2"/>
  <c r="V8" i="2"/>
  <c r="W8" i="2"/>
  <c r="X8" i="2"/>
  <c r="X11" i="2" s="1"/>
  <c r="Y8" i="2"/>
  <c r="Y11" i="2" s="1"/>
  <c r="Z8" i="2"/>
  <c r="Z11" i="2" s="1"/>
  <c r="AA8" i="2"/>
  <c r="AB8" i="2"/>
  <c r="AC8" i="2"/>
  <c r="AC11" i="2" s="1"/>
  <c r="AD8" i="2"/>
  <c r="AD11" i="2" s="1"/>
  <c r="AE8" i="2"/>
  <c r="AE11" i="2" s="1"/>
  <c r="AF8" i="2"/>
  <c r="AF11" i="2" s="1"/>
  <c r="AG8" i="2"/>
  <c r="AG11" i="2" s="1"/>
  <c r="AH8" i="2"/>
  <c r="AH11" i="2" s="1"/>
  <c r="AH19" i="2" s="1"/>
  <c r="AH23" i="2" s="1"/>
  <c r="AI8" i="2"/>
  <c r="AI11" i="2" s="1"/>
  <c r="AI19" i="2" s="1"/>
  <c r="AI23" i="2" s="1"/>
  <c r="AJ8" i="2"/>
  <c r="AJ11" i="2" s="1"/>
  <c r="AJ19" i="2" s="1"/>
  <c r="AJ23" i="2" s="1"/>
  <c r="AK8" i="2"/>
  <c r="AK11" i="2" s="1"/>
  <c r="AK19" i="2" s="1"/>
  <c r="AK23" i="2" s="1"/>
  <c r="AL8" i="2"/>
  <c r="B8" i="2"/>
  <c r="AA11" i="2"/>
  <c r="R11" i="2"/>
  <c r="Q11" i="2"/>
  <c r="P11" i="2"/>
  <c r="B19" i="1" l="1"/>
  <c r="K15" i="1"/>
  <c r="K19" i="1" s="1"/>
  <c r="F15" i="1"/>
  <c r="F19" i="1" s="1"/>
  <c r="W24" i="1"/>
  <c r="X24" i="1" s="1"/>
  <c r="O15" i="3"/>
  <c r="O19" i="3" s="1"/>
  <c r="Q15" i="3"/>
  <c r="Q19" i="3" s="1"/>
  <c r="R15" i="3"/>
  <c r="R19" i="3" s="1"/>
  <c r="P15" i="3"/>
  <c r="P19" i="3" s="1"/>
  <c r="U15" i="3"/>
  <c r="U19" i="3" s="1"/>
  <c r="T15" i="3"/>
  <c r="T19" i="3" s="1"/>
  <c r="S15" i="3"/>
  <c r="S19" i="3" s="1"/>
  <c r="B15" i="3"/>
  <c r="E11" i="2"/>
  <c r="E19" i="2" s="1"/>
  <c r="E23" i="2" s="1"/>
  <c r="B11" i="2"/>
  <c r="B19" i="2" s="1"/>
  <c r="B23" i="2" s="1"/>
  <c r="Y29" i="1"/>
  <c r="Y33" i="1" s="1"/>
  <c r="I15" i="2"/>
  <c r="J16" i="2" s="1"/>
  <c r="J15" i="2"/>
  <c r="K16" i="2" s="1"/>
  <c r="K25" i="1"/>
  <c r="L26" i="1" s="1"/>
  <c r="M25" i="1"/>
  <c r="N26" i="1" s="1"/>
  <c r="L25" i="1"/>
  <c r="M26" i="1" s="1"/>
  <c r="P25" i="1"/>
  <c r="Q26" i="1" s="1"/>
  <c r="U25" i="1"/>
  <c r="V26" i="1" s="1"/>
  <c r="V29" i="1" s="1"/>
  <c r="V33" i="1" s="1"/>
  <c r="Q25" i="1"/>
  <c r="R26" i="1" s="1"/>
  <c r="O25" i="1"/>
  <c r="P26" i="1" s="1"/>
  <c r="T25" i="1"/>
  <c r="U26" i="1" s="1"/>
  <c r="V25" i="1"/>
  <c r="W26" i="1" s="1"/>
  <c r="W29" i="1" s="1"/>
  <c r="W33" i="1" s="1"/>
  <c r="S25" i="1"/>
  <c r="T26" i="1" s="1"/>
  <c r="N25" i="1"/>
  <c r="O26" i="1" s="1"/>
  <c r="R25" i="1"/>
  <c r="S26" i="1" s="1"/>
  <c r="L11" i="2"/>
  <c r="U11" i="2"/>
  <c r="T11" i="2"/>
  <c r="J11" i="2"/>
  <c r="S11" i="2"/>
  <c r="I11" i="2"/>
  <c r="I19" i="2" s="1"/>
  <c r="I23" i="2" s="1"/>
  <c r="V11" i="2"/>
  <c r="H11" i="2"/>
  <c r="H19" i="2" s="1"/>
  <c r="H23" i="2" s="1"/>
  <c r="G11" i="2"/>
  <c r="G19" i="2" s="1"/>
  <c r="G23" i="2" s="1"/>
  <c r="K11" i="2"/>
  <c r="F11" i="2"/>
  <c r="F19" i="2" s="1"/>
  <c r="F23" i="2" s="1"/>
  <c r="K11" i="1" l="1"/>
  <c r="L12" i="1" s="1"/>
  <c r="W25" i="1"/>
  <c r="X26" i="1" s="1"/>
  <c r="X29" i="1" s="1"/>
  <c r="X33" i="1" s="1"/>
  <c r="U29" i="1"/>
  <c r="U33" i="1" s="1"/>
  <c r="B19" i="3"/>
  <c r="K19" i="2"/>
  <c r="K23" i="2" s="1"/>
  <c r="J19" i="2"/>
  <c r="J23" i="2" s="1"/>
  <c r="K15" i="2"/>
  <c r="L16" i="2" s="1"/>
  <c r="L19" i="2" s="1"/>
  <c r="L23" i="2" s="1"/>
  <c r="L11" i="1" l="1"/>
  <c r="M12" i="1" s="1"/>
  <c r="M15" i="1" s="1"/>
  <c r="M19" i="1" s="1"/>
  <c r="L15" i="1"/>
  <c r="L15" i="2"/>
  <c r="M16" i="2" s="1"/>
  <c r="M19" i="2" s="1"/>
  <c r="M23" i="2" s="1"/>
  <c r="L19" i="1" l="1"/>
  <c r="M11" i="1"/>
  <c r="N12" i="1" s="1"/>
  <c r="M15" i="2"/>
  <c r="N16" i="2" s="1"/>
  <c r="N19" i="2" s="1"/>
  <c r="N23" i="2" s="1"/>
  <c r="N11" i="1" l="1"/>
  <c r="O12" i="1" s="1"/>
  <c r="O15" i="1" s="1"/>
  <c r="O19" i="1" s="1"/>
  <c r="N15" i="1"/>
  <c r="N15" i="2"/>
  <c r="O16" i="2" s="1"/>
  <c r="O19" i="2" s="1"/>
  <c r="O23" i="2" s="1"/>
  <c r="N19" i="1" l="1"/>
  <c r="O11" i="1"/>
  <c r="P12" i="1" s="1"/>
  <c r="O15" i="2"/>
  <c r="P16" i="2" s="1"/>
  <c r="P19" i="2" s="1"/>
  <c r="P23" i="2" s="1"/>
  <c r="P15" i="1" l="1"/>
  <c r="P11" i="1"/>
  <c r="Q12" i="1" s="1"/>
  <c r="Q15" i="1" s="1"/>
  <c r="Q19" i="1" s="1"/>
  <c r="P15" i="2"/>
  <c r="Q16" i="2" s="1"/>
  <c r="Q19" i="2" s="1"/>
  <c r="Q23" i="2" s="1"/>
  <c r="Q11" i="1" l="1"/>
  <c r="R12" i="1" s="1"/>
  <c r="R15" i="1" s="1"/>
  <c r="R19" i="1" s="1"/>
  <c r="P19" i="1"/>
  <c r="Q15" i="2"/>
  <c r="R16" i="2" s="1"/>
  <c r="R19" i="2" s="1"/>
  <c r="R23" i="2" s="1"/>
  <c r="R11" i="1" l="1"/>
  <c r="S12" i="1" s="1"/>
  <c r="S15" i="1" s="1"/>
  <c r="S19" i="1" s="1"/>
  <c r="R15" i="2"/>
  <c r="S16" i="2" s="1"/>
  <c r="S19" i="2" s="1"/>
  <c r="S23" i="2" s="1"/>
  <c r="S11" i="1" l="1"/>
  <c r="T12" i="1" s="1"/>
  <c r="T15" i="1" s="1"/>
  <c r="T19" i="1" s="1"/>
  <c r="S15" i="2"/>
  <c r="T16" i="2" s="1"/>
  <c r="T19" i="2" s="1"/>
  <c r="T23" i="2" s="1"/>
  <c r="T11" i="1" l="1"/>
  <c r="U12" i="1" s="1"/>
  <c r="U15" i="1" s="1"/>
  <c r="U19" i="1" s="1"/>
  <c r="T15" i="2"/>
  <c r="U16" i="2" s="1"/>
  <c r="U19" i="2" s="1"/>
  <c r="U23" i="2" s="1"/>
  <c r="U11" i="1" l="1"/>
  <c r="V12" i="1" s="1"/>
  <c r="U15" i="2"/>
  <c r="V16" i="2" s="1"/>
  <c r="V19" i="2" s="1"/>
  <c r="V23" i="2" s="1"/>
  <c r="AE13" i="1" l="1"/>
  <c r="W10" i="1"/>
  <c r="X10" i="1" s="1"/>
  <c r="V15" i="1"/>
  <c r="V19" i="1" s="1"/>
  <c r="V15" i="2"/>
  <c r="W16" i="2" s="1"/>
  <c r="W19" i="2" s="1"/>
  <c r="W23" i="2" s="1"/>
  <c r="V11" i="1" l="1"/>
  <c r="W12" i="1" s="1"/>
  <c r="W15" i="1" s="1"/>
  <c r="W19" i="1" s="1"/>
  <c r="W15" i="2"/>
  <c r="X16" i="2" s="1"/>
  <c r="X19" i="2" s="1"/>
  <c r="X23" i="2" s="1"/>
  <c r="W11" i="1" l="1"/>
  <c r="X12" i="1" s="1"/>
  <c r="X11" i="1"/>
  <c r="X15" i="2"/>
  <c r="Y16" i="2" s="1"/>
  <c r="Y19" i="2" s="1"/>
  <c r="Y23" i="2" s="1"/>
  <c r="X15" i="1" l="1"/>
  <c r="AE12" i="1"/>
  <c r="AH10" i="1" s="1"/>
  <c r="Y15" i="2"/>
  <c r="Z16" i="2" s="1"/>
  <c r="Z19" i="2" s="1"/>
  <c r="Z23" i="2" s="1"/>
  <c r="X19" i="1" l="1"/>
  <c r="AE19" i="1" s="1"/>
  <c r="AE22" i="1" s="1"/>
  <c r="AE15" i="1"/>
  <c r="Z15" i="2"/>
  <c r="AA16" i="2" s="1"/>
  <c r="AA19" i="2" s="1"/>
  <c r="AA23" i="2" s="1"/>
  <c r="AA15" i="2" l="1"/>
  <c r="AB16" i="2" s="1"/>
  <c r="AB19" i="2" s="1"/>
  <c r="AB23" i="2" s="1"/>
  <c r="AB15" i="2" l="1"/>
  <c r="AC16" i="2" s="1"/>
  <c r="AC19" i="2" s="1"/>
  <c r="AC23" i="2" s="1"/>
  <c r="AC15" i="2" l="1"/>
  <c r="AD16" i="2" s="1"/>
  <c r="AD19" i="2"/>
  <c r="AD23" i="2" s="1"/>
  <c r="AE14" i="2"/>
  <c r="AE15" i="2" l="1"/>
  <c r="AF16" i="2" s="1"/>
  <c r="AD15" i="2"/>
  <c r="AE16" i="2" s="1"/>
  <c r="AE19" i="2" s="1"/>
  <c r="AE23" i="2" s="1"/>
  <c r="AF19" i="2"/>
  <c r="AF23" i="2" s="1"/>
  <c r="AF14" i="2"/>
  <c r="AF15" i="2" l="1"/>
  <c r="AG16" i="2" s="1"/>
  <c r="AG14" i="2"/>
  <c r="AG15" i="2" s="1"/>
  <c r="AG19" i="2"/>
  <c r="AG23" i="2" s="1"/>
  <c r="V15" i="3"/>
  <c r="V19" i="3" s="1"/>
  <c r="V10" i="3"/>
  <c r="W10" i="3" s="1"/>
  <c r="AE13" i="3"/>
  <c r="V11" i="3" l="1"/>
  <c r="W12" i="3" s="1"/>
  <c r="W11" i="3"/>
  <c r="X12" i="3" s="1"/>
  <c r="X15" i="3" s="1"/>
  <c r="X19" i="3" s="1"/>
  <c r="X10" i="3"/>
  <c r="X11" i="3" s="1"/>
  <c r="W15" i="3"/>
  <c r="AE12" i="3"/>
  <c r="AH10" i="3" s="1"/>
  <c r="AE15" i="3" l="1"/>
  <c r="W19" i="3"/>
  <c r="AE19" i="3" s="1"/>
  <c r="AE22" i="3" s="1"/>
</calcChain>
</file>

<file path=xl/sharedStrings.xml><?xml version="1.0" encoding="utf-8"?>
<sst xmlns="http://schemas.openxmlformats.org/spreadsheetml/2006/main" count="94" uniqueCount="42">
  <si>
    <t>Central Park</t>
  </si>
  <si>
    <t>ingresos</t>
  </si>
  <si>
    <t>costos</t>
  </si>
  <si>
    <t>Fujo de caja operativo</t>
  </si>
  <si>
    <t>desembolso de credito</t>
  </si>
  <si>
    <t>saldo credito</t>
  </si>
  <si>
    <t>intereses generados</t>
  </si>
  <si>
    <t>intereses pagados</t>
  </si>
  <si>
    <t>pago credito</t>
  </si>
  <si>
    <t>Fujo de caja neto</t>
  </si>
  <si>
    <t>aportes de capital</t>
  </si>
  <si>
    <t>Fujo de caja apalancado</t>
  </si>
  <si>
    <t>Torre 1</t>
  </si>
  <si>
    <t>Torre 2</t>
  </si>
  <si>
    <t>datos del credito</t>
  </si>
  <si>
    <t>cupo del credito</t>
  </si>
  <si>
    <t>% maximo mensual</t>
  </si>
  <si>
    <t>inicial</t>
  </si>
  <si>
    <t>final</t>
  </si>
  <si>
    <t>tasa de interes</t>
  </si>
  <si>
    <t>max</t>
  </si>
  <si>
    <t>max =</t>
  </si>
  <si>
    <t>ex</t>
  </si>
  <si>
    <t>total apalancado</t>
  </si>
  <si>
    <t>flujo caja neto</t>
  </si>
  <si>
    <t>total aportes</t>
  </si>
  <si>
    <t>total ingresos</t>
  </si>
  <si>
    <t>total flujo caja</t>
  </si>
  <si>
    <t>maximo credito</t>
  </si>
  <si>
    <t>pagado?</t>
  </si>
  <si>
    <t>interes</t>
  </si>
  <si>
    <t>total credito</t>
  </si>
  <si>
    <t>total costos</t>
  </si>
  <si>
    <t>ganancias?</t>
  </si>
  <si>
    <t>pagado</t>
  </si>
  <si>
    <t>total FCO</t>
  </si>
  <si>
    <t>total desembolso</t>
  </si>
  <si>
    <t>max credito</t>
  </si>
  <si>
    <t>interes pagado</t>
  </si>
  <si>
    <t>pagado capital</t>
  </si>
  <si>
    <t>total neto</t>
  </si>
  <si>
    <t>ganancias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</si>
</sst>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6" formatCode="&quot;$&quot;#,##0.00"/>
  </numFmts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0" borderId="1" xfId="0" applyFont="1" applyBorder="1"/>
    <xf numFmtId="0" fontId="2" fillId="2" borderId="3" xfId="0" applyFont="1" applyFill="1" applyBorder="1"/>
    <xf numFmtId="0" fontId="2" fillId="2" borderId="1" xfId="0" applyFont="1" applyFill="1" applyBorder="1"/>
    <xf numFmtId="0" fontId="2" fillId="0" borderId="0" xfId="0" applyFont="1"/>
    <xf numFmtId="0" fontId="2" fillId="2" borderId="2" xfId="0" applyFont="1" applyFill="1" applyBorder="1"/>
    <xf numFmtId="164" fontId="0" fillId="2" borderId="0" xfId="0" applyNumberFormat="1" applyFill="1"/>
    <xf numFmtId="164" fontId="0" fillId="0" borderId="0" xfId="0" applyNumberFormat="1"/>
    <xf numFmtId="0" fontId="0" fillId="0" borderId="5" xfId="0" applyBorder="1"/>
    <xf numFmtId="0" fontId="2" fillId="2" borderId="5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2" fillId="0" borderId="10" xfId="0" applyFont="1" applyBorder="1"/>
    <xf numFmtId="0" fontId="0" fillId="0" borderId="10" xfId="0" applyBorder="1"/>
    <xf numFmtId="0" fontId="2" fillId="2" borderId="8" xfId="0" applyFont="1" applyFill="1" applyBorder="1"/>
    <xf numFmtId="0" fontId="0" fillId="9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9" borderId="5" xfId="0" applyFill="1" applyBorder="1" applyAlignment="1">
      <alignment horizontal="center"/>
    </xf>
    <xf numFmtId="0" fontId="0" fillId="8" borderId="0" xfId="0" applyFill="1"/>
    <xf numFmtId="49" fontId="2" fillId="9" borderId="7" xfId="0" applyNumberFormat="1" applyFont="1" applyFill="1" applyBorder="1" applyAlignment="1">
      <alignment horizontal="center"/>
    </xf>
    <xf numFmtId="49" fontId="2" fillId="9" borderId="8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0" fillId="3" borderId="5" xfId="0" applyNumberFormat="1" applyFill="1" applyBorder="1"/>
    <xf numFmtId="166" fontId="0" fillId="0" borderId="5" xfId="0" applyNumberFormat="1" applyBorder="1"/>
    <xf numFmtId="166" fontId="1" fillId="0" borderId="5" xfId="0" applyNumberFormat="1" applyFont="1" applyBorder="1"/>
    <xf numFmtId="166" fontId="1" fillId="3" borderId="5" xfId="0" applyNumberFormat="1" applyFont="1" applyFill="1" applyBorder="1"/>
    <xf numFmtId="166" fontId="0" fillId="4" borderId="5" xfId="0" applyNumberFormat="1" applyFill="1" applyBorder="1"/>
    <xf numFmtId="166" fontId="1" fillId="0" borderId="9" xfId="0" applyNumberFormat="1" applyFont="1" applyBorder="1"/>
    <xf numFmtId="166" fontId="1" fillId="4" borderId="9" xfId="0" applyNumberFormat="1" applyFont="1" applyFill="1" applyBorder="1"/>
    <xf numFmtId="166" fontId="0" fillId="0" borderId="10" xfId="0" applyNumberFormat="1" applyBorder="1"/>
    <xf numFmtId="166" fontId="0" fillId="6" borderId="6" xfId="0" applyNumberFormat="1" applyFill="1" applyBorder="1"/>
    <xf numFmtId="166" fontId="1" fillId="5" borderId="9" xfId="0" applyNumberFormat="1" applyFont="1" applyFill="1" applyBorder="1"/>
    <xf numFmtId="166" fontId="0" fillId="2" borderId="11" xfId="0" applyNumberFormat="1" applyFill="1" applyBorder="1"/>
    <xf numFmtId="166" fontId="0" fillId="8" borderId="6" xfId="0" applyNumberFormat="1" applyFill="1" applyBorder="1"/>
    <xf numFmtId="166" fontId="0" fillId="0" borderId="9" xfId="0" applyNumberFormat="1" applyBorder="1"/>
    <xf numFmtId="166" fontId="1" fillId="8" borderId="11" xfId="0" applyNumberFormat="1" applyFont="1" applyFill="1" applyBorder="1"/>
    <xf numFmtId="166" fontId="0" fillId="8" borderId="11" xfId="0" applyNumberFormat="1" applyFill="1" applyBorder="1"/>
    <xf numFmtId="166" fontId="0" fillId="2" borderId="6" xfId="0" applyNumberFormat="1" applyFill="1" applyBorder="1"/>
    <xf numFmtId="0" fontId="0" fillId="7" borderId="0" xfId="0" applyFill="1"/>
    <xf numFmtId="164" fontId="0" fillId="7" borderId="0" xfId="0" applyNumberFormat="1" applyFill="1"/>
    <xf numFmtId="166" fontId="0" fillId="10" borderId="0" xfId="0" applyNumberFormat="1" applyFill="1"/>
    <xf numFmtId="166" fontId="0" fillId="0" borderId="0" xfId="0" applyNumberFormat="1"/>
    <xf numFmtId="166" fontId="1" fillId="0" borderId="0" xfId="0" applyNumberFormat="1" applyFont="1"/>
    <xf numFmtId="166" fontId="0" fillId="2" borderId="0" xfId="0" applyNumberFormat="1" applyFill="1"/>
    <xf numFmtId="166" fontId="0" fillId="7" borderId="0" xfId="0" applyNumberFormat="1" applyFill="1"/>
    <xf numFmtId="166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9364-8872-804A-A30D-7D80CAC4C1A0}">
  <dimension ref="A1:AH33"/>
  <sheetViews>
    <sheetView topLeftCell="R2" zoomScale="140" zoomScaleNormal="140" workbookViewId="0">
      <selection activeCell="X13" sqref="X13"/>
    </sheetView>
  </sheetViews>
  <sheetFormatPr baseColWidth="10" defaultRowHeight="16" x14ac:dyDescent="0.2"/>
  <cols>
    <col min="1" max="1" width="21.5" style="5" customWidth="1"/>
    <col min="30" max="30" width="16" customWidth="1"/>
  </cols>
  <sheetData>
    <row r="1" spans="1:34" x14ac:dyDescent="0.2">
      <c r="A1" s="2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34" s="6" customFormat="1" x14ac:dyDescent="0.2">
      <c r="A2" s="3" t="s">
        <v>0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</row>
    <row r="3" spans="1:34" x14ac:dyDescent="0.2">
      <c r="A3" s="2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34" x14ac:dyDescent="0.2">
      <c r="A4" s="2" t="s">
        <v>1</v>
      </c>
      <c r="B4" s="48">
        <v>1000</v>
      </c>
      <c r="C4" s="48">
        <v>1000</v>
      </c>
      <c r="D4" s="48">
        <v>1000</v>
      </c>
      <c r="E4" s="48">
        <v>1000</v>
      </c>
      <c r="F4" s="48">
        <v>1000</v>
      </c>
      <c r="G4" s="48">
        <v>1000</v>
      </c>
      <c r="H4" s="48">
        <v>1000</v>
      </c>
      <c r="I4" s="48">
        <v>1000</v>
      </c>
      <c r="J4" s="48">
        <v>1000</v>
      </c>
      <c r="K4" s="48">
        <v>1000</v>
      </c>
      <c r="L4" s="48">
        <v>2000</v>
      </c>
      <c r="M4" s="48">
        <v>1000</v>
      </c>
      <c r="N4" s="48">
        <v>1000</v>
      </c>
      <c r="O4" s="48">
        <v>1000</v>
      </c>
      <c r="P4" s="48">
        <v>1000</v>
      </c>
      <c r="Q4" s="48">
        <v>1000</v>
      </c>
      <c r="R4" s="48">
        <v>1000</v>
      </c>
      <c r="S4" s="48">
        <v>1000</v>
      </c>
      <c r="T4" s="48">
        <v>1000</v>
      </c>
      <c r="U4" s="48">
        <v>1000</v>
      </c>
      <c r="V4" s="48">
        <v>1000</v>
      </c>
      <c r="W4" s="48">
        <v>1000</v>
      </c>
      <c r="X4" s="49"/>
      <c r="Y4" s="49"/>
      <c r="Z4" s="49"/>
      <c r="AA4" s="49"/>
      <c r="AD4" t="s">
        <v>26</v>
      </c>
      <c r="AE4" s="8">
        <f>SUM(B4:AA4)</f>
        <v>23000</v>
      </c>
    </row>
    <row r="5" spans="1:34" x14ac:dyDescent="0.2">
      <c r="A5" s="2" t="s">
        <v>2</v>
      </c>
      <c r="B5" s="50"/>
      <c r="C5" s="50"/>
      <c r="D5" s="50"/>
      <c r="E5" s="50"/>
      <c r="F5" s="50"/>
      <c r="G5" s="50"/>
      <c r="H5" s="50"/>
      <c r="I5" s="50"/>
      <c r="J5" s="50">
        <v>1500</v>
      </c>
      <c r="K5" s="50">
        <v>1500</v>
      </c>
      <c r="L5" s="50">
        <v>1500</v>
      </c>
      <c r="M5" s="50">
        <v>1500</v>
      </c>
      <c r="N5" s="50">
        <v>1500</v>
      </c>
      <c r="O5" s="50">
        <v>1500</v>
      </c>
      <c r="P5" s="50">
        <v>1500</v>
      </c>
      <c r="Q5" s="50">
        <v>2250</v>
      </c>
      <c r="R5" s="50">
        <v>2250</v>
      </c>
      <c r="S5" s="50">
        <v>2250</v>
      </c>
      <c r="T5" s="50">
        <v>750</v>
      </c>
      <c r="U5" s="50">
        <v>750</v>
      </c>
      <c r="V5" s="50">
        <v>750</v>
      </c>
      <c r="W5" s="50">
        <v>750</v>
      </c>
      <c r="X5" s="50">
        <v>750</v>
      </c>
      <c r="Y5" s="50">
        <v>750</v>
      </c>
      <c r="Z5" s="50">
        <v>750</v>
      </c>
      <c r="AA5" s="50">
        <v>750</v>
      </c>
      <c r="AD5" t="s">
        <v>32</v>
      </c>
      <c r="AE5" s="8">
        <f>SUM(B5:AA5)</f>
        <v>23250</v>
      </c>
    </row>
    <row r="6" spans="1:34" x14ac:dyDescent="0.2">
      <c r="A6" s="2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34" s="1" customFormat="1" x14ac:dyDescent="0.2">
      <c r="A7" s="4" t="s">
        <v>3</v>
      </c>
      <c r="B7" s="51">
        <f>B4-B5</f>
        <v>1000</v>
      </c>
      <c r="C7" s="51">
        <f>C4-C5</f>
        <v>1000</v>
      </c>
      <c r="D7" s="51">
        <f t="shared" ref="D7:AA7" si="0">D4-D5</f>
        <v>1000</v>
      </c>
      <c r="E7" s="51">
        <f t="shared" si="0"/>
        <v>1000</v>
      </c>
      <c r="F7" s="51">
        <f t="shared" si="0"/>
        <v>1000</v>
      </c>
      <c r="G7" s="51">
        <f t="shared" si="0"/>
        <v>1000</v>
      </c>
      <c r="H7" s="51">
        <f t="shared" si="0"/>
        <v>1000</v>
      </c>
      <c r="I7" s="51">
        <f t="shared" si="0"/>
        <v>1000</v>
      </c>
      <c r="J7" s="51">
        <f>J4-J5</f>
        <v>-500</v>
      </c>
      <c r="K7" s="51">
        <f t="shared" si="0"/>
        <v>-500</v>
      </c>
      <c r="L7" s="51">
        <f t="shared" si="0"/>
        <v>500</v>
      </c>
      <c r="M7" s="51">
        <f t="shared" si="0"/>
        <v>-500</v>
      </c>
      <c r="N7" s="51">
        <f t="shared" si="0"/>
        <v>-500</v>
      </c>
      <c r="O7" s="51">
        <f t="shared" si="0"/>
        <v>-500</v>
      </c>
      <c r="P7" s="51">
        <f t="shared" si="0"/>
        <v>-500</v>
      </c>
      <c r="Q7" s="51">
        <f t="shared" si="0"/>
        <v>-1250</v>
      </c>
      <c r="R7" s="51">
        <f t="shared" si="0"/>
        <v>-1250</v>
      </c>
      <c r="S7" s="51">
        <f t="shared" si="0"/>
        <v>-1250</v>
      </c>
      <c r="T7" s="51">
        <f t="shared" si="0"/>
        <v>250</v>
      </c>
      <c r="U7" s="51">
        <f t="shared" si="0"/>
        <v>250</v>
      </c>
      <c r="V7" s="51">
        <f t="shared" si="0"/>
        <v>250</v>
      </c>
      <c r="W7" s="51">
        <f t="shared" si="0"/>
        <v>250</v>
      </c>
      <c r="X7" s="51">
        <f t="shared" si="0"/>
        <v>-750</v>
      </c>
      <c r="Y7" s="51">
        <f t="shared" si="0"/>
        <v>-750</v>
      </c>
      <c r="Z7" s="51">
        <f t="shared" si="0"/>
        <v>-750</v>
      </c>
      <c r="AA7" s="51">
        <f t="shared" si="0"/>
        <v>-750</v>
      </c>
      <c r="AD7" s="1" t="s">
        <v>27</v>
      </c>
      <c r="AE7" s="7">
        <f>SUM(B7:AA7)</f>
        <v>-250</v>
      </c>
    </row>
    <row r="8" spans="1:34" x14ac:dyDescent="0.2">
      <c r="A8" s="2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34" x14ac:dyDescent="0.2">
      <c r="A9" s="2" t="s">
        <v>4</v>
      </c>
      <c r="B9" s="49"/>
      <c r="C9" s="49"/>
      <c r="D9" s="49"/>
      <c r="E9" s="49"/>
      <c r="F9" s="49"/>
      <c r="G9" s="49"/>
      <c r="H9" s="49"/>
      <c r="I9" s="49"/>
      <c r="J9" s="49">
        <v>500</v>
      </c>
      <c r="K9" s="49">
        <v>500</v>
      </c>
      <c r="L9" s="49"/>
      <c r="M9" s="49">
        <v>500</v>
      </c>
      <c r="N9" s="49">
        <v>500</v>
      </c>
      <c r="O9" s="49">
        <v>500</v>
      </c>
      <c r="P9" s="49">
        <v>500</v>
      </c>
      <c r="Q9" s="49">
        <v>560</v>
      </c>
      <c r="R9" s="49">
        <v>560</v>
      </c>
      <c r="S9" s="49">
        <v>560</v>
      </c>
      <c r="T9" s="49"/>
      <c r="U9" s="49"/>
      <c r="V9" s="49"/>
      <c r="W9" s="49"/>
      <c r="X9" s="49"/>
      <c r="Y9" s="49"/>
      <c r="Z9" s="49"/>
      <c r="AA9" s="49"/>
    </row>
    <row r="10" spans="1:34" x14ac:dyDescent="0.2">
      <c r="A10" s="2" t="s">
        <v>5</v>
      </c>
      <c r="B10" s="49"/>
      <c r="C10" s="49"/>
      <c r="D10" s="49"/>
      <c r="E10" s="49"/>
      <c r="F10" s="49"/>
      <c r="G10" s="49"/>
      <c r="H10" s="49"/>
      <c r="I10" s="49"/>
      <c r="J10" s="49">
        <f>I10+J9-I13</f>
        <v>500</v>
      </c>
      <c r="K10" s="49">
        <f t="shared" ref="K10:X10" si="1">J10+K9-J13</f>
        <v>1000</v>
      </c>
      <c r="L10" s="49">
        <f t="shared" si="1"/>
        <v>1000</v>
      </c>
      <c r="M10" s="49">
        <f t="shared" si="1"/>
        <v>1500</v>
      </c>
      <c r="N10" s="49">
        <f t="shared" si="1"/>
        <v>2000</v>
      </c>
      <c r="O10" s="49">
        <f t="shared" si="1"/>
        <v>2500</v>
      </c>
      <c r="P10" s="49">
        <f t="shared" si="1"/>
        <v>3000</v>
      </c>
      <c r="Q10" s="49">
        <f t="shared" si="1"/>
        <v>3560</v>
      </c>
      <c r="R10" s="49">
        <f t="shared" si="1"/>
        <v>4120</v>
      </c>
      <c r="S10" s="49">
        <f t="shared" si="1"/>
        <v>4680</v>
      </c>
      <c r="T10" s="49">
        <f t="shared" si="1"/>
        <v>4680</v>
      </c>
      <c r="U10" s="49">
        <f t="shared" si="1"/>
        <v>4680</v>
      </c>
      <c r="V10" s="49">
        <f t="shared" si="1"/>
        <v>4680</v>
      </c>
      <c r="W10" s="49">
        <f t="shared" si="1"/>
        <v>2340</v>
      </c>
      <c r="X10" s="49">
        <f t="shared" si="1"/>
        <v>0</v>
      </c>
      <c r="Y10" s="49"/>
      <c r="Z10" s="49"/>
      <c r="AA10" s="49"/>
      <c r="AD10" t="s">
        <v>28</v>
      </c>
      <c r="AE10">
        <v>4680</v>
      </c>
      <c r="AG10" s="46" t="s">
        <v>31</v>
      </c>
      <c r="AH10" s="47">
        <f>AE10+AE12</f>
        <v>5082.3999999999996</v>
      </c>
    </row>
    <row r="11" spans="1:34" x14ac:dyDescent="0.2">
      <c r="A11" s="2" t="s">
        <v>6</v>
      </c>
      <c r="B11" s="49"/>
      <c r="C11" s="49"/>
      <c r="D11" s="49"/>
      <c r="E11" s="49"/>
      <c r="F11" s="49"/>
      <c r="G11" s="49"/>
      <c r="H11" s="49"/>
      <c r="I11" s="49"/>
      <c r="J11" s="49">
        <f>(J10*($B$28/100))/12</f>
        <v>5</v>
      </c>
      <c r="K11" s="49">
        <f t="shared" ref="K11:X11" si="2">(K10*($B$28/100))/12</f>
        <v>10</v>
      </c>
      <c r="L11" s="49">
        <f t="shared" si="2"/>
        <v>10</v>
      </c>
      <c r="M11" s="49">
        <f t="shared" si="2"/>
        <v>15</v>
      </c>
      <c r="N11" s="49">
        <f t="shared" si="2"/>
        <v>20</v>
      </c>
      <c r="O11" s="49">
        <f t="shared" si="2"/>
        <v>25</v>
      </c>
      <c r="P11" s="49">
        <f t="shared" si="2"/>
        <v>30</v>
      </c>
      <c r="Q11" s="49">
        <f t="shared" si="2"/>
        <v>35.6</v>
      </c>
      <c r="R11" s="49">
        <f t="shared" si="2"/>
        <v>41.199999999999996</v>
      </c>
      <c r="S11" s="49">
        <f t="shared" si="2"/>
        <v>46.800000000000004</v>
      </c>
      <c r="T11" s="49">
        <f t="shared" si="2"/>
        <v>46.800000000000004</v>
      </c>
      <c r="U11" s="49">
        <f t="shared" si="2"/>
        <v>46.800000000000004</v>
      </c>
      <c r="V11" s="49">
        <f t="shared" si="2"/>
        <v>46.800000000000004</v>
      </c>
      <c r="W11" s="49">
        <f t="shared" si="2"/>
        <v>23.400000000000002</v>
      </c>
      <c r="X11" s="49">
        <f t="shared" si="2"/>
        <v>0</v>
      </c>
      <c r="Y11" s="49"/>
      <c r="Z11" s="49"/>
      <c r="AA11" s="49"/>
    </row>
    <row r="12" spans="1:34" x14ac:dyDescent="0.2">
      <c r="A12" s="2" t="s">
        <v>7</v>
      </c>
      <c r="B12" s="50"/>
      <c r="C12" s="50"/>
      <c r="D12" s="50"/>
      <c r="E12" s="50"/>
      <c r="F12" s="50"/>
      <c r="G12" s="50"/>
      <c r="H12" s="50"/>
      <c r="I12" s="50"/>
      <c r="J12" s="50"/>
      <c r="K12" s="50">
        <f>J11</f>
        <v>5</v>
      </c>
      <c r="L12" s="50">
        <f t="shared" ref="L12:X12" si="3">K11</f>
        <v>10</v>
      </c>
      <c r="M12" s="50">
        <f t="shared" si="3"/>
        <v>10</v>
      </c>
      <c r="N12" s="50">
        <f t="shared" si="3"/>
        <v>15</v>
      </c>
      <c r="O12" s="50">
        <f t="shared" si="3"/>
        <v>20</v>
      </c>
      <c r="P12" s="50">
        <f t="shared" si="3"/>
        <v>25</v>
      </c>
      <c r="Q12" s="50">
        <f t="shared" si="3"/>
        <v>30</v>
      </c>
      <c r="R12" s="50">
        <f t="shared" si="3"/>
        <v>35.6</v>
      </c>
      <c r="S12" s="50">
        <f t="shared" si="3"/>
        <v>41.199999999999996</v>
      </c>
      <c r="T12" s="50">
        <f t="shared" si="3"/>
        <v>46.800000000000004</v>
      </c>
      <c r="U12" s="50">
        <f t="shared" si="3"/>
        <v>46.800000000000004</v>
      </c>
      <c r="V12" s="50">
        <f t="shared" si="3"/>
        <v>46.800000000000004</v>
      </c>
      <c r="W12" s="50">
        <f t="shared" si="3"/>
        <v>46.800000000000004</v>
      </c>
      <c r="X12" s="50">
        <f t="shared" si="3"/>
        <v>23.400000000000002</v>
      </c>
      <c r="Y12" s="50"/>
      <c r="Z12" s="50"/>
      <c r="AA12" s="50"/>
      <c r="AD12" t="s">
        <v>30</v>
      </c>
      <c r="AE12" s="8">
        <f>SUM(B12:AA12)</f>
        <v>402.4</v>
      </c>
    </row>
    <row r="13" spans="1:34" x14ac:dyDescent="0.2">
      <c r="A13" s="2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>
        <f>V10/2</f>
        <v>2340</v>
      </c>
      <c r="W13" s="50">
        <f>W10</f>
        <v>2340</v>
      </c>
      <c r="X13" s="50"/>
      <c r="Y13" s="50"/>
      <c r="Z13" s="50"/>
      <c r="AA13" s="50"/>
      <c r="AD13" t="s">
        <v>29</v>
      </c>
      <c r="AE13" s="8">
        <f>SUM(V13:W13)</f>
        <v>4680</v>
      </c>
    </row>
    <row r="14" spans="1:34" x14ac:dyDescent="0.2">
      <c r="A14" s="2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34" s="1" customFormat="1" x14ac:dyDescent="0.2">
      <c r="A15" s="4" t="s">
        <v>9</v>
      </c>
      <c r="B15" s="51">
        <f>B7+B9-B12-B13</f>
        <v>1000</v>
      </c>
      <c r="C15" s="51">
        <f>C7+C9-C12-C13</f>
        <v>1000</v>
      </c>
      <c r="D15" s="51">
        <f t="shared" ref="D15:AA15" si="4">D7+D9-D12-D13</f>
        <v>1000</v>
      </c>
      <c r="E15" s="51">
        <f t="shared" si="4"/>
        <v>1000</v>
      </c>
      <c r="F15" s="51">
        <f t="shared" si="4"/>
        <v>1000</v>
      </c>
      <c r="G15" s="51">
        <f t="shared" si="4"/>
        <v>1000</v>
      </c>
      <c r="H15" s="51">
        <f t="shared" si="4"/>
        <v>1000</v>
      </c>
      <c r="I15" s="51">
        <f t="shared" si="4"/>
        <v>1000</v>
      </c>
      <c r="J15" s="51">
        <f>J7+J9-J12-J13</f>
        <v>0</v>
      </c>
      <c r="K15" s="51">
        <f t="shared" si="4"/>
        <v>-5</v>
      </c>
      <c r="L15" s="51">
        <f t="shared" si="4"/>
        <v>490</v>
      </c>
      <c r="M15" s="51">
        <f t="shared" si="4"/>
        <v>-10</v>
      </c>
      <c r="N15" s="51">
        <f t="shared" si="4"/>
        <v>-15</v>
      </c>
      <c r="O15" s="51">
        <f t="shared" si="4"/>
        <v>-20</v>
      </c>
      <c r="P15" s="51">
        <f t="shared" si="4"/>
        <v>-25</v>
      </c>
      <c r="Q15" s="51">
        <f t="shared" si="4"/>
        <v>-720</v>
      </c>
      <c r="R15" s="51">
        <f t="shared" si="4"/>
        <v>-725.6</v>
      </c>
      <c r="S15" s="51">
        <f t="shared" si="4"/>
        <v>-731.2</v>
      </c>
      <c r="T15" s="51">
        <f t="shared" si="4"/>
        <v>203.2</v>
      </c>
      <c r="U15" s="51">
        <f t="shared" si="4"/>
        <v>203.2</v>
      </c>
      <c r="V15" s="51">
        <f t="shared" si="4"/>
        <v>-2136.8000000000002</v>
      </c>
      <c r="W15" s="51">
        <f t="shared" si="4"/>
        <v>-2136.8000000000002</v>
      </c>
      <c r="X15" s="51">
        <f t="shared" si="4"/>
        <v>-773.4</v>
      </c>
      <c r="Y15" s="51">
        <f t="shared" si="4"/>
        <v>-750</v>
      </c>
      <c r="Z15" s="51">
        <f t="shared" si="4"/>
        <v>-750</v>
      </c>
      <c r="AA15" s="51">
        <f t="shared" si="4"/>
        <v>-750</v>
      </c>
      <c r="AD15" s="1" t="s">
        <v>24</v>
      </c>
      <c r="AE15" s="7">
        <f>SUM(B15:AA15)</f>
        <v>-652.400000000001</v>
      </c>
    </row>
    <row r="16" spans="1:34" x14ac:dyDescent="0.2">
      <c r="A16" s="2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31" x14ac:dyDescent="0.2">
      <c r="A17" s="2" t="s">
        <v>10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v>5</v>
      </c>
      <c r="L17" s="50"/>
      <c r="M17" s="50">
        <v>10</v>
      </c>
      <c r="N17" s="50">
        <v>15</v>
      </c>
      <c r="O17" s="50">
        <v>20</v>
      </c>
      <c r="P17" s="50">
        <v>25</v>
      </c>
      <c r="Q17" s="50">
        <v>720</v>
      </c>
      <c r="R17" s="50">
        <v>725.6</v>
      </c>
      <c r="S17" s="50">
        <v>731.2</v>
      </c>
      <c r="T17" s="50"/>
      <c r="U17" s="50"/>
      <c r="V17" s="50">
        <v>2136.8000000000002</v>
      </c>
      <c r="W17" s="50">
        <v>2113.4</v>
      </c>
      <c r="X17" s="50">
        <v>750</v>
      </c>
      <c r="Y17" s="50">
        <v>750</v>
      </c>
      <c r="Z17" s="50">
        <v>750</v>
      </c>
      <c r="AA17" s="50">
        <v>750</v>
      </c>
      <c r="AD17" t="s">
        <v>25</v>
      </c>
      <c r="AE17" s="8">
        <f>SUM(B17:AA17)</f>
        <v>9502</v>
      </c>
    </row>
    <row r="18" spans="1:31" x14ac:dyDescent="0.2">
      <c r="A18" s="2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31" s="1" customFormat="1" x14ac:dyDescent="0.2">
      <c r="A19" s="4" t="s">
        <v>11</v>
      </c>
      <c r="B19" s="51">
        <f>B15+B17</f>
        <v>1000</v>
      </c>
      <c r="C19" s="51">
        <f t="shared" ref="C19:AA19" si="5">C15+C17</f>
        <v>1000</v>
      </c>
      <c r="D19" s="51">
        <f t="shared" si="5"/>
        <v>1000</v>
      </c>
      <c r="E19" s="51">
        <f t="shared" si="5"/>
        <v>1000</v>
      </c>
      <c r="F19" s="51">
        <f t="shared" si="5"/>
        <v>1000</v>
      </c>
      <c r="G19" s="51">
        <f t="shared" si="5"/>
        <v>1000</v>
      </c>
      <c r="H19" s="51">
        <f t="shared" si="5"/>
        <v>1000</v>
      </c>
      <c r="I19" s="51">
        <f t="shared" si="5"/>
        <v>1000</v>
      </c>
      <c r="J19" s="51">
        <f t="shared" si="5"/>
        <v>0</v>
      </c>
      <c r="K19" s="51">
        <f t="shared" si="5"/>
        <v>0</v>
      </c>
      <c r="L19" s="51">
        <f t="shared" si="5"/>
        <v>490</v>
      </c>
      <c r="M19" s="51">
        <f t="shared" si="5"/>
        <v>0</v>
      </c>
      <c r="N19" s="51">
        <f t="shared" si="5"/>
        <v>0</v>
      </c>
      <c r="O19" s="51">
        <f t="shared" si="5"/>
        <v>0</v>
      </c>
      <c r="P19" s="51">
        <f t="shared" si="5"/>
        <v>0</v>
      </c>
      <c r="Q19" s="51">
        <f t="shared" si="5"/>
        <v>0</v>
      </c>
      <c r="R19" s="51">
        <f t="shared" si="5"/>
        <v>0</v>
      </c>
      <c r="S19" s="51">
        <f t="shared" si="5"/>
        <v>0</v>
      </c>
      <c r="T19" s="51">
        <f t="shared" si="5"/>
        <v>203.2</v>
      </c>
      <c r="U19" s="51">
        <f t="shared" si="5"/>
        <v>203.2</v>
      </c>
      <c r="V19" s="51">
        <f t="shared" si="5"/>
        <v>0</v>
      </c>
      <c r="W19" s="51">
        <f t="shared" si="5"/>
        <v>-23.400000000000091</v>
      </c>
      <c r="X19" s="51">
        <f t="shared" si="5"/>
        <v>-23.399999999999977</v>
      </c>
      <c r="Y19" s="51">
        <f t="shared" si="5"/>
        <v>0</v>
      </c>
      <c r="Z19" s="51">
        <f t="shared" si="5"/>
        <v>0</v>
      </c>
      <c r="AA19" s="51">
        <f t="shared" si="5"/>
        <v>0</v>
      </c>
      <c r="AD19" s="1" t="s">
        <v>23</v>
      </c>
      <c r="AE19" s="7">
        <f>SUM(B19:AA19)</f>
        <v>8849.6000000000022</v>
      </c>
    </row>
    <row r="22" spans="1:31" x14ac:dyDescent="0.2">
      <c r="J22" t="s">
        <v>22</v>
      </c>
      <c r="AD22" t="s">
        <v>33</v>
      </c>
      <c r="AE22" s="8">
        <f>AE19-AE17</f>
        <v>-652.39999999999782</v>
      </c>
    </row>
    <row r="23" spans="1:31" x14ac:dyDescent="0.2">
      <c r="A23" s="25" t="s">
        <v>14</v>
      </c>
      <c r="B23" s="26"/>
      <c r="J23">
        <v>500</v>
      </c>
      <c r="K23">
        <v>500</v>
      </c>
      <c r="M23">
        <v>500</v>
      </c>
      <c r="N23">
        <v>500</v>
      </c>
      <c r="O23">
        <v>500</v>
      </c>
      <c r="P23">
        <v>500</v>
      </c>
      <c r="Q23">
        <v>560</v>
      </c>
      <c r="R23">
        <v>560</v>
      </c>
      <c r="S23">
        <v>560</v>
      </c>
    </row>
    <row r="24" spans="1:31" x14ac:dyDescent="0.2">
      <c r="A24" s="15" t="s">
        <v>15</v>
      </c>
      <c r="B24" s="9">
        <v>7000</v>
      </c>
      <c r="J24">
        <f t="shared" ref="J24:U24" si="6">I24+J23-I27</f>
        <v>500</v>
      </c>
      <c r="K24">
        <f t="shared" si="6"/>
        <v>1000</v>
      </c>
      <c r="L24">
        <f t="shared" si="6"/>
        <v>1000</v>
      </c>
      <c r="M24">
        <f t="shared" si="6"/>
        <v>1500</v>
      </c>
      <c r="N24">
        <f t="shared" si="6"/>
        <v>2000</v>
      </c>
      <c r="O24">
        <f t="shared" si="6"/>
        <v>2500</v>
      </c>
      <c r="P24">
        <f t="shared" si="6"/>
        <v>3000</v>
      </c>
      <c r="Q24">
        <f t="shared" si="6"/>
        <v>3560</v>
      </c>
      <c r="R24">
        <f t="shared" si="6"/>
        <v>4120</v>
      </c>
      <c r="S24">
        <f t="shared" si="6"/>
        <v>4680</v>
      </c>
      <c r="T24">
        <f t="shared" si="6"/>
        <v>4680</v>
      </c>
      <c r="U24">
        <f t="shared" si="6"/>
        <v>4680</v>
      </c>
      <c r="V24">
        <f>U24+V23-U27</f>
        <v>4680</v>
      </c>
      <c r="W24">
        <f>V24+W23-V27</f>
        <v>2340</v>
      </c>
      <c r="X24">
        <f>W24+X23-W27</f>
        <v>0</v>
      </c>
    </row>
    <row r="25" spans="1:31" x14ac:dyDescent="0.2">
      <c r="A25" s="15" t="s">
        <v>16</v>
      </c>
      <c r="B25" s="9">
        <v>8</v>
      </c>
      <c r="D25" s="21" t="s">
        <v>21</v>
      </c>
      <c r="E25" s="22">
        <f>B24*(B25/100)</f>
        <v>560</v>
      </c>
      <c r="J25">
        <f>(J24*($B$28/100))/12</f>
        <v>5</v>
      </c>
      <c r="K25">
        <f>(K24*($B$28/100))/12</f>
        <v>10</v>
      </c>
      <c r="L25">
        <f t="shared" ref="L25:W25" si="7">(L24*($B$28/100))/12</f>
        <v>10</v>
      </c>
      <c r="M25">
        <f t="shared" si="7"/>
        <v>15</v>
      </c>
      <c r="N25">
        <f t="shared" si="7"/>
        <v>20</v>
      </c>
      <c r="O25">
        <f t="shared" si="7"/>
        <v>25</v>
      </c>
      <c r="P25">
        <f t="shared" si="7"/>
        <v>30</v>
      </c>
      <c r="Q25">
        <f t="shared" si="7"/>
        <v>35.6</v>
      </c>
      <c r="R25">
        <f t="shared" si="7"/>
        <v>41.199999999999996</v>
      </c>
      <c r="S25">
        <f t="shared" si="7"/>
        <v>46.800000000000004</v>
      </c>
      <c r="T25">
        <f t="shared" si="7"/>
        <v>46.800000000000004</v>
      </c>
      <c r="U25">
        <f t="shared" si="7"/>
        <v>46.800000000000004</v>
      </c>
      <c r="V25">
        <f t="shared" si="7"/>
        <v>46.800000000000004</v>
      </c>
      <c r="W25">
        <f t="shared" si="7"/>
        <v>23.400000000000002</v>
      </c>
    </row>
    <row r="26" spans="1:31" x14ac:dyDescent="0.2">
      <c r="A26" s="15" t="s">
        <v>17</v>
      </c>
      <c r="B26" s="9">
        <v>9</v>
      </c>
      <c r="K26">
        <f>J25</f>
        <v>5</v>
      </c>
      <c r="L26">
        <f t="shared" ref="L26:X26" si="8">K25</f>
        <v>10</v>
      </c>
      <c r="M26">
        <f t="shared" si="8"/>
        <v>10</v>
      </c>
      <c r="N26">
        <f t="shared" si="8"/>
        <v>15</v>
      </c>
      <c r="O26">
        <f t="shared" si="8"/>
        <v>20</v>
      </c>
      <c r="P26">
        <f t="shared" si="8"/>
        <v>25</v>
      </c>
      <c r="Q26">
        <f t="shared" si="8"/>
        <v>30</v>
      </c>
      <c r="R26">
        <f t="shared" si="8"/>
        <v>35.6</v>
      </c>
      <c r="S26">
        <f t="shared" si="8"/>
        <v>41.199999999999996</v>
      </c>
      <c r="T26">
        <f t="shared" si="8"/>
        <v>46.800000000000004</v>
      </c>
      <c r="U26">
        <f t="shared" si="8"/>
        <v>46.800000000000004</v>
      </c>
      <c r="V26">
        <f t="shared" si="8"/>
        <v>46.800000000000004</v>
      </c>
      <c r="W26">
        <f t="shared" si="8"/>
        <v>46.800000000000004</v>
      </c>
      <c r="X26">
        <f t="shared" si="8"/>
        <v>23.400000000000002</v>
      </c>
    </row>
    <row r="27" spans="1:31" x14ac:dyDescent="0.2">
      <c r="A27" s="15" t="s">
        <v>18</v>
      </c>
      <c r="B27" s="9">
        <v>23</v>
      </c>
      <c r="V27">
        <f>V24*(50/100)</f>
        <v>2340</v>
      </c>
      <c r="W27">
        <v>2340</v>
      </c>
    </row>
    <row r="28" spans="1:31" x14ac:dyDescent="0.2">
      <c r="A28" s="15" t="s">
        <v>19</v>
      </c>
      <c r="B28" s="9">
        <v>12</v>
      </c>
    </row>
    <row r="29" spans="1:31" x14ac:dyDescent="0.2">
      <c r="U29" s="8">
        <f>U7+U23-U26-U27</f>
        <v>203.2</v>
      </c>
      <c r="V29" s="8">
        <f>V7+V23-V26-V27</f>
        <v>-2136.8000000000002</v>
      </c>
      <c r="W29" s="8">
        <f>W7+W23-W26-W27</f>
        <v>-2136.8000000000002</v>
      </c>
      <c r="X29" s="8">
        <f>X7+X23-X26-X27</f>
        <v>-773.4</v>
      </c>
      <c r="Y29" s="8">
        <f>Y7+Y23-Y26-Y27</f>
        <v>-750</v>
      </c>
    </row>
    <row r="31" spans="1:31" x14ac:dyDescent="0.2">
      <c r="V31">
        <v>2137</v>
      </c>
      <c r="W31">
        <v>2137</v>
      </c>
      <c r="X31">
        <v>773</v>
      </c>
      <c r="Y31">
        <v>750</v>
      </c>
    </row>
    <row r="33" spans="21:25" x14ac:dyDescent="0.2">
      <c r="U33" s="8">
        <f t="shared" ref="U33:V33" si="9">U29+U31</f>
        <v>203.2</v>
      </c>
      <c r="V33" s="8">
        <f t="shared" si="9"/>
        <v>0.1999999999998181</v>
      </c>
      <c r="W33" s="8">
        <f>W29+W31</f>
        <v>0.1999999999998181</v>
      </c>
      <c r="X33" s="8">
        <f t="shared" ref="X33:Y33" si="10">X29+X31</f>
        <v>-0.39999999999997726</v>
      </c>
      <c r="Y33" s="8">
        <f t="shared" si="10"/>
        <v>0</v>
      </c>
    </row>
  </sheetData>
  <mergeCells count="1"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A173-BA28-1945-AB0D-E8E814837609}">
  <dimension ref="A1:AH33"/>
  <sheetViews>
    <sheetView topLeftCell="S1" zoomScale="140" zoomScaleNormal="140" workbookViewId="0">
      <selection activeCell="V27" sqref="V27"/>
    </sheetView>
  </sheetViews>
  <sheetFormatPr baseColWidth="10" defaultRowHeight="16" x14ac:dyDescent="0.2"/>
  <cols>
    <col min="1" max="1" width="21.5" style="5" customWidth="1"/>
    <col min="30" max="30" width="16" customWidth="1"/>
  </cols>
  <sheetData>
    <row r="1" spans="1:34" x14ac:dyDescent="0.2">
      <c r="A1" s="2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34" s="6" customFormat="1" x14ac:dyDescent="0.2">
      <c r="A2" s="3" t="s">
        <v>0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</row>
    <row r="3" spans="1:34" x14ac:dyDescent="0.2">
      <c r="A3" s="2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34" x14ac:dyDescent="0.2">
      <c r="A4" s="2" t="s">
        <v>1</v>
      </c>
      <c r="B4" s="48">
        <v>1000</v>
      </c>
      <c r="C4" s="48">
        <v>1000</v>
      </c>
      <c r="D4" s="48">
        <v>1000</v>
      </c>
      <c r="E4" s="48">
        <v>1000</v>
      </c>
      <c r="F4" s="48">
        <v>1000</v>
      </c>
      <c r="G4" s="48">
        <v>1000</v>
      </c>
      <c r="H4" s="48">
        <v>1000</v>
      </c>
      <c r="I4" s="48">
        <v>1000</v>
      </c>
      <c r="J4" s="48">
        <v>1000</v>
      </c>
      <c r="K4" s="48">
        <v>1000</v>
      </c>
      <c r="L4" s="48">
        <v>2000</v>
      </c>
      <c r="M4" s="48">
        <v>1000</v>
      </c>
      <c r="N4" s="48">
        <v>1000</v>
      </c>
      <c r="O4" s="48">
        <v>1000</v>
      </c>
      <c r="P4" s="48">
        <v>1000</v>
      </c>
      <c r="Q4" s="48">
        <v>1000</v>
      </c>
      <c r="R4" s="48">
        <v>1000</v>
      </c>
      <c r="S4" s="48">
        <v>1000</v>
      </c>
      <c r="T4" s="48">
        <v>1000</v>
      </c>
      <c r="U4" s="48">
        <v>1000</v>
      </c>
      <c r="V4" s="48">
        <v>1000</v>
      </c>
      <c r="W4" s="48">
        <v>1000</v>
      </c>
      <c r="X4" s="49"/>
      <c r="Y4" s="49"/>
      <c r="Z4" s="49"/>
      <c r="AA4" s="49"/>
      <c r="AB4" s="49"/>
      <c r="AC4" s="49"/>
      <c r="AD4" s="49" t="s">
        <v>26</v>
      </c>
      <c r="AE4" s="49">
        <f>SUM(B4:AA4)</f>
        <v>23000</v>
      </c>
      <c r="AF4" s="49"/>
      <c r="AG4" s="49"/>
      <c r="AH4" s="49"/>
    </row>
    <row r="5" spans="1:34" x14ac:dyDescent="0.2">
      <c r="A5" s="2" t="s">
        <v>2</v>
      </c>
      <c r="B5" s="50"/>
      <c r="C5" s="50"/>
      <c r="D5" s="50"/>
      <c r="E5" s="50"/>
      <c r="F5" s="50"/>
      <c r="G5" s="50"/>
      <c r="H5" s="50"/>
      <c r="I5" s="50"/>
      <c r="J5" s="50">
        <v>1500</v>
      </c>
      <c r="K5" s="50">
        <v>1500</v>
      </c>
      <c r="L5" s="50">
        <v>1500</v>
      </c>
      <c r="M5" s="50">
        <v>1500</v>
      </c>
      <c r="N5" s="50">
        <v>1500</v>
      </c>
      <c r="O5" s="50">
        <v>1500</v>
      </c>
      <c r="P5" s="50">
        <v>1500</v>
      </c>
      <c r="Q5" s="50">
        <v>2250</v>
      </c>
      <c r="R5" s="50">
        <v>2250</v>
      </c>
      <c r="S5" s="50">
        <v>2250</v>
      </c>
      <c r="T5" s="50">
        <v>750</v>
      </c>
      <c r="U5" s="50">
        <v>750</v>
      </c>
      <c r="V5" s="50">
        <v>750</v>
      </c>
      <c r="W5" s="50">
        <v>750</v>
      </c>
      <c r="X5" s="50">
        <v>750</v>
      </c>
      <c r="Y5" s="50">
        <v>750</v>
      </c>
      <c r="Z5" s="50">
        <v>750</v>
      </c>
      <c r="AA5" s="50">
        <v>750</v>
      </c>
      <c r="AB5" s="49"/>
      <c r="AC5" s="49"/>
      <c r="AD5" s="49" t="s">
        <v>32</v>
      </c>
      <c r="AE5" s="49">
        <f>SUM(B5:AA5)</f>
        <v>23250</v>
      </c>
      <c r="AF5" s="49"/>
      <c r="AG5" s="49"/>
      <c r="AH5" s="49"/>
    </row>
    <row r="6" spans="1:34" x14ac:dyDescent="0.2">
      <c r="A6" s="2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7" spans="1:34" s="1" customFormat="1" x14ac:dyDescent="0.2">
      <c r="A7" s="4" t="s">
        <v>3</v>
      </c>
      <c r="B7" s="51">
        <f>B4-B5</f>
        <v>1000</v>
      </c>
      <c r="C7" s="51">
        <f>C4-C5</f>
        <v>1000</v>
      </c>
      <c r="D7" s="51">
        <f t="shared" ref="D7:AA7" si="0">D4-D5</f>
        <v>1000</v>
      </c>
      <c r="E7" s="51">
        <f t="shared" si="0"/>
        <v>1000</v>
      </c>
      <c r="F7" s="51">
        <f t="shared" si="0"/>
        <v>1000</v>
      </c>
      <c r="G7" s="51">
        <f t="shared" si="0"/>
        <v>1000</v>
      </c>
      <c r="H7" s="51">
        <f t="shared" si="0"/>
        <v>1000</v>
      </c>
      <c r="I7" s="51">
        <f t="shared" si="0"/>
        <v>1000</v>
      </c>
      <c r="J7" s="51">
        <f>J4-J5</f>
        <v>-500</v>
      </c>
      <c r="K7" s="51">
        <f t="shared" si="0"/>
        <v>-500</v>
      </c>
      <c r="L7" s="51">
        <f t="shared" si="0"/>
        <v>500</v>
      </c>
      <c r="M7" s="51">
        <f t="shared" si="0"/>
        <v>-500</v>
      </c>
      <c r="N7" s="51">
        <f t="shared" si="0"/>
        <v>-500</v>
      </c>
      <c r="O7" s="51">
        <f t="shared" si="0"/>
        <v>-500</v>
      </c>
      <c r="P7" s="51">
        <f t="shared" si="0"/>
        <v>-500</v>
      </c>
      <c r="Q7" s="51">
        <f t="shared" si="0"/>
        <v>-1250</v>
      </c>
      <c r="R7" s="51">
        <f t="shared" si="0"/>
        <v>-1250</v>
      </c>
      <c r="S7" s="51">
        <f t="shared" si="0"/>
        <v>-1250</v>
      </c>
      <c r="T7" s="51">
        <f t="shared" si="0"/>
        <v>250</v>
      </c>
      <c r="U7" s="51">
        <f t="shared" si="0"/>
        <v>250</v>
      </c>
      <c r="V7" s="51">
        <f t="shared" si="0"/>
        <v>250</v>
      </c>
      <c r="W7" s="51">
        <f t="shared" si="0"/>
        <v>250</v>
      </c>
      <c r="X7" s="51">
        <f t="shared" si="0"/>
        <v>-750</v>
      </c>
      <c r="Y7" s="51">
        <f t="shared" si="0"/>
        <v>-750</v>
      </c>
      <c r="Z7" s="51">
        <f t="shared" si="0"/>
        <v>-750</v>
      </c>
      <c r="AA7" s="51">
        <f t="shared" si="0"/>
        <v>-750</v>
      </c>
      <c r="AB7" s="51"/>
      <c r="AC7" s="51"/>
      <c r="AD7" s="51" t="s">
        <v>27</v>
      </c>
      <c r="AE7" s="51">
        <f>SUM(B7:AA7)</f>
        <v>-250</v>
      </c>
      <c r="AF7" s="51"/>
      <c r="AG7" s="51"/>
      <c r="AH7" s="51"/>
    </row>
    <row r="8" spans="1:34" x14ac:dyDescent="0.2">
      <c r="A8" s="2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 x14ac:dyDescent="0.2">
      <c r="A9" s="2" t="s">
        <v>4</v>
      </c>
      <c r="B9" s="49"/>
      <c r="C9" s="49"/>
      <c r="D9" s="49"/>
      <c r="E9" s="49"/>
      <c r="F9" s="49"/>
      <c r="G9" s="49"/>
      <c r="H9" s="49"/>
      <c r="I9" s="49"/>
      <c r="J9" s="49">
        <v>500</v>
      </c>
      <c r="K9" s="49">
        <v>500</v>
      </c>
      <c r="L9" s="49"/>
      <c r="M9" s="49">
        <v>500</v>
      </c>
      <c r="N9" s="49">
        <v>500</v>
      </c>
      <c r="O9" s="49">
        <v>500</v>
      </c>
      <c r="P9" s="49">
        <v>500</v>
      </c>
      <c r="Q9" s="49">
        <v>560</v>
      </c>
      <c r="R9" s="49">
        <v>560</v>
      </c>
      <c r="S9" s="49">
        <v>560</v>
      </c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</row>
    <row r="10" spans="1:34" x14ac:dyDescent="0.2">
      <c r="A10" s="2" t="s">
        <v>5</v>
      </c>
      <c r="B10" s="49"/>
      <c r="C10" s="49"/>
      <c r="D10" s="49"/>
      <c r="E10" s="49"/>
      <c r="F10" s="49"/>
      <c r="G10" s="49"/>
      <c r="H10" s="49"/>
      <c r="I10" s="49"/>
      <c r="J10" s="49">
        <f>I10+J9-J13</f>
        <v>500</v>
      </c>
      <c r="K10" s="49">
        <f t="shared" ref="K10:X10" si="1">J10+K9-K13</f>
        <v>1000</v>
      </c>
      <c r="L10" s="49">
        <f t="shared" si="1"/>
        <v>1000</v>
      </c>
      <c r="M10" s="49">
        <f t="shared" si="1"/>
        <v>1500</v>
      </c>
      <c r="N10" s="49">
        <f t="shared" si="1"/>
        <v>2000</v>
      </c>
      <c r="O10" s="49">
        <f t="shared" si="1"/>
        <v>2500</v>
      </c>
      <c r="P10" s="49">
        <f t="shared" si="1"/>
        <v>3000</v>
      </c>
      <c r="Q10" s="49">
        <f t="shared" si="1"/>
        <v>3560</v>
      </c>
      <c r="R10" s="49">
        <f t="shared" si="1"/>
        <v>4120</v>
      </c>
      <c r="S10" s="49">
        <f t="shared" si="1"/>
        <v>4680</v>
      </c>
      <c r="T10" s="49">
        <f t="shared" si="1"/>
        <v>4680</v>
      </c>
      <c r="U10" s="49">
        <f t="shared" si="1"/>
        <v>4680</v>
      </c>
      <c r="V10" s="49">
        <f t="shared" si="1"/>
        <v>2340</v>
      </c>
      <c r="W10" s="49">
        <f t="shared" si="1"/>
        <v>0</v>
      </c>
      <c r="X10" s="49">
        <f t="shared" si="1"/>
        <v>0</v>
      </c>
      <c r="Y10" s="49"/>
      <c r="Z10" s="49"/>
      <c r="AA10" s="49"/>
      <c r="AB10" s="49"/>
      <c r="AC10" s="49"/>
      <c r="AD10" s="49" t="s">
        <v>28</v>
      </c>
      <c r="AE10" s="49">
        <v>4680</v>
      </c>
      <c r="AF10" s="49"/>
      <c r="AG10" s="52" t="s">
        <v>31</v>
      </c>
      <c r="AH10" s="52">
        <f>AE10+AE12</f>
        <v>5035.6000000000004</v>
      </c>
    </row>
    <row r="11" spans="1:34" x14ac:dyDescent="0.2">
      <c r="A11" s="2" t="s">
        <v>6</v>
      </c>
      <c r="B11" s="49"/>
      <c r="C11" s="49"/>
      <c r="D11" s="49"/>
      <c r="E11" s="49"/>
      <c r="F11" s="49"/>
      <c r="G11" s="49"/>
      <c r="H11" s="49"/>
      <c r="I11" s="49"/>
      <c r="J11" s="49">
        <f>(J10*($B$28/100))/12</f>
        <v>5</v>
      </c>
      <c r="K11" s="49">
        <f t="shared" ref="K11:X11" si="2">(K10*($B$28/100))/12</f>
        <v>10</v>
      </c>
      <c r="L11" s="49">
        <f t="shared" si="2"/>
        <v>10</v>
      </c>
      <c r="M11" s="49">
        <f t="shared" si="2"/>
        <v>15</v>
      </c>
      <c r="N11" s="49">
        <f t="shared" si="2"/>
        <v>20</v>
      </c>
      <c r="O11" s="49">
        <f t="shared" si="2"/>
        <v>25</v>
      </c>
      <c r="P11" s="49">
        <f t="shared" si="2"/>
        <v>30</v>
      </c>
      <c r="Q11" s="49">
        <f t="shared" si="2"/>
        <v>35.6</v>
      </c>
      <c r="R11" s="49">
        <f t="shared" si="2"/>
        <v>41.199999999999996</v>
      </c>
      <c r="S11" s="49">
        <f t="shared" si="2"/>
        <v>46.800000000000004</v>
      </c>
      <c r="T11" s="49">
        <f t="shared" si="2"/>
        <v>46.800000000000004</v>
      </c>
      <c r="U11" s="49">
        <f t="shared" si="2"/>
        <v>46.800000000000004</v>
      </c>
      <c r="V11" s="49">
        <f t="shared" si="2"/>
        <v>23.400000000000002</v>
      </c>
      <c r="W11" s="49">
        <f t="shared" si="2"/>
        <v>0</v>
      </c>
      <c r="X11" s="49">
        <f t="shared" si="2"/>
        <v>0</v>
      </c>
      <c r="Y11" s="49"/>
      <c r="Z11" s="49"/>
      <c r="AA11" s="49"/>
      <c r="AB11" s="49"/>
      <c r="AC11" s="49"/>
      <c r="AD11" s="49"/>
      <c r="AE11" s="49"/>
      <c r="AF11" s="49"/>
      <c r="AG11" s="49"/>
      <c r="AH11" s="49"/>
    </row>
    <row r="12" spans="1:34" x14ac:dyDescent="0.2">
      <c r="A12" s="2" t="s">
        <v>7</v>
      </c>
      <c r="B12" s="50"/>
      <c r="C12" s="50"/>
      <c r="D12" s="50"/>
      <c r="E12" s="50"/>
      <c r="F12" s="50"/>
      <c r="G12" s="50"/>
      <c r="H12" s="50"/>
      <c r="I12" s="50"/>
      <c r="J12" s="50"/>
      <c r="K12" s="50">
        <f>J11</f>
        <v>5</v>
      </c>
      <c r="L12" s="50">
        <f t="shared" ref="L12:X12" si="3">K11</f>
        <v>10</v>
      </c>
      <c r="M12" s="50">
        <f t="shared" si="3"/>
        <v>10</v>
      </c>
      <c r="N12" s="50">
        <f t="shared" si="3"/>
        <v>15</v>
      </c>
      <c r="O12" s="50">
        <f t="shared" si="3"/>
        <v>20</v>
      </c>
      <c r="P12" s="50">
        <f t="shared" si="3"/>
        <v>25</v>
      </c>
      <c r="Q12" s="50">
        <f t="shared" si="3"/>
        <v>30</v>
      </c>
      <c r="R12" s="50">
        <f t="shared" si="3"/>
        <v>35.6</v>
      </c>
      <c r="S12" s="50">
        <f t="shared" si="3"/>
        <v>41.199999999999996</v>
      </c>
      <c r="T12" s="50">
        <f t="shared" si="3"/>
        <v>46.800000000000004</v>
      </c>
      <c r="U12" s="50">
        <f t="shared" si="3"/>
        <v>46.800000000000004</v>
      </c>
      <c r="V12" s="50">
        <f t="shared" si="3"/>
        <v>46.800000000000004</v>
      </c>
      <c r="W12" s="50">
        <f t="shared" si="3"/>
        <v>23.400000000000002</v>
      </c>
      <c r="X12" s="50">
        <f t="shared" si="3"/>
        <v>0</v>
      </c>
      <c r="Y12" s="50"/>
      <c r="Z12" s="50"/>
      <c r="AA12" s="50"/>
      <c r="AB12" s="49"/>
      <c r="AC12" s="49"/>
      <c r="AD12" s="49" t="s">
        <v>30</v>
      </c>
      <c r="AE12" s="49">
        <f>SUM(B12:AA12)</f>
        <v>355.59999999999997</v>
      </c>
      <c r="AF12" s="49"/>
      <c r="AG12" s="49"/>
      <c r="AH12" s="49"/>
    </row>
    <row r="13" spans="1:34" x14ac:dyDescent="0.2">
      <c r="A13" s="2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>
        <f>U10/2</f>
        <v>2340</v>
      </c>
      <c r="W13" s="50">
        <f>U10/2</f>
        <v>2340</v>
      </c>
      <c r="X13" s="50"/>
      <c r="Y13" s="50"/>
      <c r="Z13" s="50"/>
      <c r="AA13" s="50"/>
      <c r="AB13" s="49"/>
      <c r="AC13" s="49"/>
      <c r="AD13" s="49" t="s">
        <v>34</v>
      </c>
      <c r="AE13" s="49">
        <f>SUM(V13:W13)</f>
        <v>4680</v>
      </c>
      <c r="AF13" s="49"/>
      <c r="AG13" s="49"/>
      <c r="AH13" s="49"/>
    </row>
    <row r="14" spans="1:34" x14ac:dyDescent="0.2">
      <c r="A14" s="2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34" s="1" customFormat="1" x14ac:dyDescent="0.2">
      <c r="A15" s="4" t="s">
        <v>9</v>
      </c>
      <c r="B15" s="51">
        <f>B7+B9-B12-B13</f>
        <v>1000</v>
      </c>
      <c r="C15" s="51">
        <f>C7+C9-C12-C13</f>
        <v>1000</v>
      </c>
      <c r="D15" s="51">
        <f t="shared" ref="D15:AA15" si="4">D7+D9-D12-D13</f>
        <v>1000</v>
      </c>
      <c r="E15" s="51">
        <f t="shared" si="4"/>
        <v>1000</v>
      </c>
      <c r="F15" s="51">
        <f t="shared" si="4"/>
        <v>1000</v>
      </c>
      <c r="G15" s="51">
        <f t="shared" si="4"/>
        <v>1000</v>
      </c>
      <c r="H15" s="51">
        <f t="shared" si="4"/>
        <v>1000</v>
      </c>
      <c r="I15" s="51">
        <f t="shared" si="4"/>
        <v>1000</v>
      </c>
      <c r="J15" s="51">
        <f>J7+J9-J12-J13</f>
        <v>0</v>
      </c>
      <c r="K15" s="51">
        <f t="shared" si="4"/>
        <v>-5</v>
      </c>
      <c r="L15" s="51">
        <f t="shared" si="4"/>
        <v>490</v>
      </c>
      <c r="M15" s="51">
        <f t="shared" si="4"/>
        <v>-10</v>
      </c>
      <c r="N15" s="51">
        <f t="shared" si="4"/>
        <v>-15</v>
      </c>
      <c r="O15" s="51">
        <f t="shared" si="4"/>
        <v>-20</v>
      </c>
      <c r="P15" s="51">
        <f t="shared" si="4"/>
        <v>-25</v>
      </c>
      <c r="Q15" s="51">
        <f t="shared" si="4"/>
        <v>-720</v>
      </c>
      <c r="R15" s="51">
        <f t="shared" si="4"/>
        <v>-725.6</v>
      </c>
      <c r="S15" s="51">
        <f t="shared" si="4"/>
        <v>-731.2</v>
      </c>
      <c r="T15" s="51">
        <f t="shared" si="4"/>
        <v>203.2</v>
      </c>
      <c r="U15" s="51">
        <f t="shared" si="4"/>
        <v>203.2</v>
      </c>
      <c r="V15" s="51">
        <f t="shared" si="4"/>
        <v>-2136.8000000000002</v>
      </c>
      <c r="W15" s="51">
        <f t="shared" si="4"/>
        <v>-2113.4</v>
      </c>
      <c r="X15" s="51">
        <f t="shared" si="4"/>
        <v>-750</v>
      </c>
      <c r="Y15" s="51">
        <f t="shared" si="4"/>
        <v>-750</v>
      </c>
      <c r="Z15" s="51">
        <f t="shared" si="4"/>
        <v>-750</v>
      </c>
      <c r="AA15" s="51">
        <f t="shared" si="4"/>
        <v>-750</v>
      </c>
      <c r="AB15" s="51"/>
      <c r="AC15" s="51"/>
      <c r="AD15" s="51" t="s">
        <v>24</v>
      </c>
      <c r="AE15" s="51">
        <f>SUM(B15:AA15)</f>
        <v>-605.60000000000082</v>
      </c>
      <c r="AF15" s="51"/>
      <c r="AG15" s="51" t="s">
        <v>41</v>
      </c>
      <c r="AH15" s="51"/>
    </row>
    <row r="16" spans="1:34" x14ac:dyDescent="0.2">
      <c r="A16" s="2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4" x14ac:dyDescent="0.2">
      <c r="A17" s="2" t="s">
        <v>10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v>5</v>
      </c>
      <c r="L17" s="50"/>
      <c r="M17" s="50">
        <v>10</v>
      </c>
      <c r="N17" s="50">
        <v>15</v>
      </c>
      <c r="O17" s="50">
        <v>20</v>
      </c>
      <c r="P17" s="50">
        <v>25</v>
      </c>
      <c r="Q17" s="50">
        <v>720</v>
      </c>
      <c r="R17" s="50">
        <v>725.6</v>
      </c>
      <c r="S17" s="50">
        <v>731.2</v>
      </c>
      <c r="T17" s="50"/>
      <c r="U17" s="50"/>
      <c r="V17" s="50">
        <v>2136.8000000000002</v>
      </c>
      <c r="W17" s="50">
        <v>2113.4</v>
      </c>
      <c r="X17" s="50">
        <v>750</v>
      </c>
      <c r="Y17" s="50">
        <v>750</v>
      </c>
      <c r="Z17" s="50">
        <v>750</v>
      </c>
      <c r="AA17" s="50">
        <v>750</v>
      </c>
      <c r="AB17" s="49"/>
      <c r="AC17" s="49"/>
      <c r="AD17" s="49" t="s">
        <v>25</v>
      </c>
      <c r="AE17" s="49">
        <f>SUM(B17:AA17)</f>
        <v>9502</v>
      </c>
      <c r="AF17" s="49"/>
      <c r="AG17" s="49"/>
      <c r="AH17" s="49"/>
    </row>
    <row r="18" spans="1:34" x14ac:dyDescent="0.2">
      <c r="A18" s="2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</row>
    <row r="19" spans="1:34" s="1" customFormat="1" x14ac:dyDescent="0.2">
      <c r="A19" s="4" t="s">
        <v>11</v>
      </c>
      <c r="B19" s="51">
        <f>B15+B17</f>
        <v>1000</v>
      </c>
      <c r="C19" s="51">
        <f t="shared" ref="C19:AA19" si="5">C15+C17</f>
        <v>1000</v>
      </c>
      <c r="D19" s="51">
        <f t="shared" si="5"/>
        <v>1000</v>
      </c>
      <c r="E19" s="51">
        <f t="shared" si="5"/>
        <v>1000</v>
      </c>
      <c r="F19" s="51">
        <f t="shared" si="5"/>
        <v>1000</v>
      </c>
      <c r="G19" s="51">
        <f t="shared" si="5"/>
        <v>1000</v>
      </c>
      <c r="H19" s="51">
        <f t="shared" si="5"/>
        <v>1000</v>
      </c>
      <c r="I19" s="51">
        <f t="shared" si="5"/>
        <v>1000</v>
      </c>
      <c r="J19" s="51">
        <f t="shared" si="5"/>
        <v>0</v>
      </c>
      <c r="K19" s="51">
        <f t="shared" si="5"/>
        <v>0</v>
      </c>
      <c r="L19" s="51">
        <f t="shared" si="5"/>
        <v>490</v>
      </c>
      <c r="M19" s="51">
        <f t="shared" si="5"/>
        <v>0</v>
      </c>
      <c r="N19" s="51">
        <f t="shared" si="5"/>
        <v>0</v>
      </c>
      <c r="O19" s="51">
        <f t="shared" si="5"/>
        <v>0</v>
      </c>
      <c r="P19" s="51">
        <f t="shared" si="5"/>
        <v>0</v>
      </c>
      <c r="Q19" s="51">
        <f t="shared" si="5"/>
        <v>0</v>
      </c>
      <c r="R19" s="51">
        <f t="shared" si="5"/>
        <v>0</v>
      </c>
      <c r="S19" s="51">
        <f t="shared" si="5"/>
        <v>0</v>
      </c>
      <c r="T19" s="51">
        <f t="shared" si="5"/>
        <v>203.2</v>
      </c>
      <c r="U19" s="51">
        <f t="shared" si="5"/>
        <v>203.2</v>
      </c>
      <c r="V19" s="51">
        <f t="shared" si="5"/>
        <v>0</v>
      </c>
      <c r="W19" s="51">
        <f t="shared" si="5"/>
        <v>0</v>
      </c>
      <c r="X19" s="51">
        <f t="shared" si="5"/>
        <v>0</v>
      </c>
      <c r="Y19" s="51">
        <f t="shared" si="5"/>
        <v>0</v>
      </c>
      <c r="Z19" s="51">
        <f t="shared" si="5"/>
        <v>0</v>
      </c>
      <c r="AA19" s="51">
        <f t="shared" si="5"/>
        <v>0</v>
      </c>
      <c r="AB19" s="51"/>
      <c r="AC19" s="51"/>
      <c r="AD19" s="51" t="s">
        <v>23</v>
      </c>
      <c r="AE19" s="51">
        <f>SUM(B19:AA19)</f>
        <v>8896.4000000000015</v>
      </c>
      <c r="AF19" s="51"/>
      <c r="AG19" s="51"/>
      <c r="AH19" s="51"/>
    </row>
    <row r="20" spans="1:34" x14ac:dyDescent="0.2"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 spans="1:34" x14ac:dyDescent="0.2"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</row>
    <row r="22" spans="1:34" x14ac:dyDescent="0.2"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 t="s">
        <v>33</v>
      </c>
      <c r="AE22" s="49">
        <f>AE19-AE17</f>
        <v>-605.59999999999854</v>
      </c>
      <c r="AF22" s="49"/>
      <c r="AG22" s="49"/>
      <c r="AH22" s="49"/>
    </row>
    <row r="23" spans="1:34" x14ac:dyDescent="0.2">
      <c r="A23" s="25" t="s">
        <v>14</v>
      </c>
      <c r="B23" s="26"/>
    </row>
    <row r="24" spans="1:34" x14ac:dyDescent="0.2">
      <c r="A24" s="15" t="s">
        <v>15</v>
      </c>
      <c r="B24" s="9">
        <v>7000</v>
      </c>
    </row>
    <row r="25" spans="1:34" x14ac:dyDescent="0.2">
      <c r="A25" s="15" t="s">
        <v>16</v>
      </c>
      <c r="B25" s="9">
        <v>8</v>
      </c>
      <c r="D25" s="21" t="s">
        <v>21</v>
      </c>
      <c r="E25" s="22">
        <f>B24*(B25/100)</f>
        <v>560</v>
      </c>
    </row>
    <row r="26" spans="1:34" x14ac:dyDescent="0.2">
      <c r="A26" s="15" t="s">
        <v>17</v>
      </c>
      <c r="B26" s="9">
        <v>9</v>
      </c>
    </row>
    <row r="27" spans="1:34" x14ac:dyDescent="0.2">
      <c r="A27" s="15" t="s">
        <v>18</v>
      </c>
      <c r="B27" s="9">
        <v>23</v>
      </c>
    </row>
    <row r="28" spans="1:34" x14ac:dyDescent="0.2">
      <c r="A28" s="15" t="s">
        <v>19</v>
      </c>
      <c r="B28" s="9">
        <v>12</v>
      </c>
    </row>
    <row r="29" spans="1:34" x14ac:dyDescent="0.2">
      <c r="U29" s="8"/>
      <c r="V29" s="8"/>
      <c r="W29" s="8"/>
      <c r="X29" s="8"/>
      <c r="Y29" s="8"/>
    </row>
    <row r="33" spans="21:25" x14ac:dyDescent="0.2">
      <c r="U33" s="8"/>
      <c r="V33" s="8"/>
      <c r="W33" s="8"/>
      <c r="X33" s="8"/>
      <c r="Y33" s="8"/>
    </row>
  </sheetData>
  <mergeCells count="1">
    <mergeCell ref="A23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A047-4079-8D43-980A-68F048B478A5}">
  <dimension ref="A1:AR32"/>
  <sheetViews>
    <sheetView tabSelected="1" topLeftCell="Z1" zoomScale="150" zoomScaleNormal="150" workbookViewId="0">
      <selection activeCell="AE21" sqref="AE21"/>
    </sheetView>
  </sheetViews>
  <sheetFormatPr baseColWidth="10" defaultRowHeight="16" x14ac:dyDescent="0.2"/>
  <cols>
    <col min="1" max="1" width="21.5" style="5" customWidth="1"/>
    <col min="40" max="40" width="15.5" customWidth="1"/>
  </cols>
  <sheetData>
    <row r="1" spans="1:44" x14ac:dyDescent="0.2">
      <c r="A1" s="2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44" s="6" customFormat="1" x14ac:dyDescent="0.2">
      <c r="A2" s="3" t="s">
        <v>0</v>
      </c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>
        <v>13</v>
      </c>
      <c r="O2" s="10">
        <v>14</v>
      </c>
      <c r="P2" s="10">
        <v>15</v>
      </c>
      <c r="Q2" s="10">
        <v>16</v>
      </c>
      <c r="R2" s="10">
        <v>17</v>
      </c>
      <c r="S2" s="10">
        <v>18</v>
      </c>
      <c r="T2" s="10">
        <v>19</v>
      </c>
      <c r="U2" s="10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  <c r="AC2" s="10">
        <v>28</v>
      </c>
      <c r="AD2" s="10">
        <v>29</v>
      </c>
      <c r="AE2" s="10">
        <v>30</v>
      </c>
      <c r="AF2" s="10">
        <v>31</v>
      </c>
      <c r="AG2" s="10">
        <v>32</v>
      </c>
      <c r="AH2" s="10">
        <v>33</v>
      </c>
      <c r="AI2" s="10">
        <v>34</v>
      </c>
      <c r="AJ2" s="10">
        <v>35</v>
      </c>
      <c r="AK2" s="10">
        <v>36</v>
      </c>
      <c r="AL2" s="10">
        <v>37</v>
      </c>
    </row>
    <row r="3" spans="1:44" x14ac:dyDescent="0.2">
      <c r="A3" s="27" t="s">
        <v>12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30">
        <v>1000</v>
      </c>
      <c r="M3" s="30">
        <v>1000</v>
      </c>
      <c r="N3" s="30">
        <v>1000</v>
      </c>
      <c r="O3" s="30">
        <v>1000</v>
      </c>
      <c r="P3" s="30">
        <v>1000</v>
      </c>
      <c r="Q3" s="30">
        <v>1000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spans="1:44" x14ac:dyDescent="0.2">
      <c r="A4" s="28"/>
      <c r="B4" s="32"/>
      <c r="C4" s="32"/>
      <c r="D4" s="32"/>
      <c r="E4" s="33">
        <v>500</v>
      </c>
      <c r="F4" s="33">
        <v>500</v>
      </c>
      <c r="G4" s="33">
        <v>1000</v>
      </c>
      <c r="H4" s="33">
        <v>1500</v>
      </c>
      <c r="I4" s="33">
        <v>200</v>
      </c>
      <c r="J4" s="33">
        <v>450</v>
      </c>
      <c r="K4" s="33">
        <v>1000</v>
      </c>
      <c r="L4" s="33">
        <v>500</v>
      </c>
      <c r="M4" s="33">
        <v>500</v>
      </c>
      <c r="N4" s="33">
        <v>1000</v>
      </c>
      <c r="O4" s="33">
        <v>1500</v>
      </c>
      <c r="P4" s="33">
        <v>200</v>
      </c>
      <c r="Q4" s="33">
        <v>450</v>
      </c>
      <c r="R4" s="33">
        <v>1000</v>
      </c>
      <c r="S4" s="33">
        <v>2500</v>
      </c>
      <c r="T4" s="33">
        <v>1000</v>
      </c>
      <c r="U4" s="32"/>
      <c r="V4" s="32"/>
      <c r="W4" s="32"/>
      <c r="X4" s="32"/>
      <c r="Y4" s="32"/>
      <c r="Z4" s="32"/>
      <c r="AA4" s="32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</row>
    <row r="5" spans="1:44" x14ac:dyDescent="0.2">
      <c r="A5" s="29" t="s">
        <v>13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4">
        <v>1250</v>
      </c>
      <c r="Q5" s="34">
        <v>1250</v>
      </c>
      <c r="R5" s="34">
        <v>1250</v>
      </c>
      <c r="S5" s="34">
        <v>1250</v>
      </c>
      <c r="T5" s="34">
        <v>1250</v>
      </c>
      <c r="U5" s="34">
        <v>1250</v>
      </c>
      <c r="V5" s="34">
        <v>1250</v>
      </c>
      <c r="W5" s="34">
        <v>1250</v>
      </c>
      <c r="X5" s="34">
        <v>1250</v>
      </c>
      <c r="Y5" s="34">
        <v>1250</v>
      </c>
      <c r="Z5" s="34">
        <v>1250</v>
      </c>
      <c r="AA5" s="34">
        <v>1250</v>
      </c>
      <c r="AB5" s="34">
        <v>1250</v>
      </c>
      <c r="AC5" s="34">
        <v>1250</v>
      </c>
      <c r="AD5" s="34">
        <v>1250</v>
      </c>
      <c r="AE5" s="34">
        <v>1250</v>
      </c>
      <c r="AF5" s="31"/>
      <c r="AG5" s="31"/>
      <c r="AH5" s="31"/>
      <c r="AI5" s="31"/>
      <c r="AJ5" s="31"/>
      <c r="AK5" s="31"/>
      <c r="AL5" s="31"/>
    </row>
    <row r="6" spans="1:44" x14ac:dyDescent="0.2">
      <c r="A6" s="29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6">
        <v>625</v>
      </c>
      <c r="X6" s="36">
        <v>625</v>
      </c>
      <c r="Y6" s="36">
        <v>1250</v>
      </c>
      <c r="Z6" s="36">
        <v>1875</v>
      </c>
      <c r="AA6" s="36">
        <v>250</v>
      </c>
      <c r="AB6" s="36">
        <v>562.5</v>
      </c>
      <c r="AC6" s="36">
        <v>1250</v>
      </c>
      <c r="AD6" s="36">
        <v>625</v>
      </c>
      <c r="AE6" s="36">
        <v>625</v>
      </c>
      <c r="AF6" s="36">
        <v>1250</v>
      </c>
      <c r="AG6" s="36">
        <v>1875</v>
      </c>
      <c r="AH6" s="36">
        <v>250</v>
      </c>
      <c r="AI6" s="36">
        <v>562.5</v>
      </c>
      <c r="AJ6" s="36">
        <v>1250</v>
      </c>
      <c r="AK6" s="36">
        <v>3125</v>
      </c>
      <c r="AL6" s="36">
        <v>1250</v>
      </c>
    </row>
    <row r="7" spans="1:44" s="18" customFormat="1" x14ac:dyDescent="0.2">
      <c r="A7" s="1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</row>
    <row r="8" spans="1:44" x14ac:dyDescent="0.2">
      <c r="A8" s="11" t="s">
        <v>1</v>
      </c>
      <c r="B8" s="38">
        <f>SUM(B3,B5)</f>
        <v>1000</v>
      </c>
      <c r="C8" s="38">
        <f t="shared" ref="C8:AL8" si="0">SUM(C3,C5)</f>
        <v>1000</v>
      </c>
      <c r="D8" s="38">
        <f t="shared" si="0"/>
        <v>1000</v>
      </c>
      <c r="E8" s="38">
        <f t="shared" si="0"/>
        <v>1000</v>
      </c>
      <c r="F8" s="38">
        <f t="shared" si="0"/>
        <v>1000</v>
      </c>
      <c r="G8" s="38">
        <f t="shared" si="0"/>
        <v>1000</v>
      </c>
      <c r="H8" s="38">
        <f t="shared" si="0"/>
        <v>1000</v>
      </c>
      <c r="I8" s="38">
        <f t="shared" si="0"/>
        <v>1000</v>
      </c>
      <c r="J8" s="38">
        <f t="shared" si="0"/>
        <v>1000</v>
      </c>
      <c r="K8" s="38">
        <f t="shared" si="0"/>
        <v>1000</v>
      </c>
      <c r="L8" s="38">
        <f t="shared" si="0"/>
        <v>1000</v>
      </c>
      <c r="M8" s="38">
        <f t="shared" si="0"/>
        <v>1000</v>
      </c>
      <c r="N8" s="38">
        <f t="shared" si="0"/>
        <v>1000</v>
      </c>
      <c r="O8" s="38">
        <f t="shared" si="0"/>
        <v>1000</v>
      </c>
      <c r="P8" s="38">
        <f t="shared" si="0"/>
        <v>2250</v>
      </c>
      <c r="Q8" s="38">
        <f t="shared" si="0"/>
        <v>2250</v>
      </c>
      <c r="R8" s="38">
        <f t="shared" si="0"/>
        <v>1250</v>
      </c>
      <c r="S8" s="38">
        <f t="shared" si="0"/>
        <v>1250</v>
      </c>
      <c r="T8" s="38">
        <f t="shared" si="0"/>
        <v>1250</v>
      </c>
      <c r="U8" s="38">
        <f t="shared" si="0"/>
        <v>1250</v>
      </c>
      <c r="V8" s="38">
        <f t="shared" si="0"/>
        <v>1250</v>
      </c>
      <c r="W8" s="38">
        <f t="shared" si="0"/>
        <v>1250</v>
      </c>
      <c r="X8" s="38">
        <f t="shared" si="0"/>
        <v>1250</v>
      </c>
      <c r="Y8" s="38">
        <f t="shared" si="0"/>
        <v>1250</v>
      </c>
      <c r="Z8" s="38">
        <f t="shared" si="0"/>
        <v>1250</v>
      </c>
      <c r="AA8" s="38">
        <f t="shared" si="0"/>
        <v>1250</v>
      </c>
      <c r="AB8" s="38">
        <f t="shared" si="0"/>
        <v>1250</v>
      </c>
      <c r="AC8" s="38">
        <f t="shared" si="0"/>
        <v>1250</v>
      </c>
      <c r="AD8" s="38">
        <f t="shared" si="0"/>
        <v>1250</v>
      </c>
      <c r="AE8" s="38">
        <f t="shared" si="0"/>
        <v>1250</v>
      </c>
      <c r="AF8" s="38">
        <f t="shared" si="0"/>
        <v>0</v>
      </c>
      <c r="AG8" s="38">
        <f t="shared" si="0"/>
        <v>0</v>
      </c>
      <c r="AH8" s="38">
        <f t="shared" si="0"/>
        <v>0</v>
      </c>
      <c r="AI8" s="38">
        <f t="shared" si="0"/>
        <v>0</v>
      </c>
      <c r="AJ8" s="38">
        <f t="shared" si="0"/>
        <v>0</v>
      </c>
      <c r="AK8" s="38">
        <f t="shared" si="0"/>
        <v>0</v>
      </c>
      <c r="AL8" s="38">
        <f t="shared" si="0"/>
        <v>0</v>
      </c>
    </row>
    <row r="9" spans="1:44" x14ac:dyDescent="0.2">
      <c r="A9" s="12" t="s">
        <v>2</v>
      </c>
      <c r="B9" s="39">
        <f>SUM(B4,B6)</f>
        <v>0</v>
      </c>
      <c r="C9" s="39">
        <f t="shared" ref="C9:AL9" si="1">SUM(C4,C6)</f>
        <v>0</v>
      </c>
      <c r="D9" s="39">
        <f t="shared" si="1"/>
        <v>0</v>
      </c>
      <c r="E9" s="39">
        <f t="shared" si="1"/>
        <v>500</v>
      </c>
      <c r="F9" s="39">
        <f t="shared" si="1"/>
        <v>500</v>
      </c>
      <c r="G9" s="39">
        <f t="shared" si="1"/>
        <v>1000</v>
      </c>
      <c r="H9" s="39">
        <f t="shared" si="1"/>
        <v>1500</v>
      </c>
      <c r="I9" s="39">
        <f t="shared" si="1"/>
        <v>200</v>
      </c>
      <c r="J9" s="39">
        <f t="shared" si="1"/>
        <v>450</v>
      </c>
      <c r="K9" s="39">
        <f t="shared" si="1"/>
        <v>1000</v>
      </c>
      <c r="L9" s="39">
        <f t="shared" si="1"/>
        <v>500</v>
      </c>
      <c r="M9" s="39">
        <f t="shared" si="1"/>
        <v>500</v>
      </c>
      <c r="N9" s="39">
        <f t="shared" si="1"/>
        <v>1000</v>
      </c>
      <c r="O9" s="39">
        <f t="shared" si="1"/>
        <v>1500</v>
      </c>
      <c r="P9" s="39">
        <f t="shared" si="1"/>
        <v>200</v>
      </c>
      <c r="Q9" s="39">
        <f t="shared" si="1"/>
        <v>450</v>
      </c>
      <c r="R9" s="39">
        <f t="shared" si="1"/>
        <v>1000</v>
      </c>
      <c r="S9" s="39">
        <f t="shared" si="1"/>
        <v>2500</v>
      </c>
      <c r="T9" s="39">
        <f t="shared" si="1"/>
        <v>1000</v>
      </c>
      <c r="U9" s="39">
        <f t="shared" si="1"/>
        <v>0</v>
      </c>
      <c r="V9" s="39">
        <f t="shared" si="1"/>
        <v>0</v>
      </c>
      <c r="W9" s="39">
        <f t="shared" si="1"/>
        <v>625</v>
      </c>
      <c r="X9" s="39">
        <f t="shared" si="1"/>
        <v>625</v>
      </c>
      <c r="Y9" s="39">
        <f t="shared" si="1"/>
        <v>1250</v>
      </c>
      <c r="Z9" s="39">
        <f t="shared" si="1"/>
        <v>1875</v>
      </c>
      <c r="AA9" s="39">
        <f t="shared" si="1"/>
        <v>250</v>
      </c>
      <c r="AB9" s="39">
        <f t="shared" si="1"/>
        <v>562.5</v>
      </c>
      <c r="AC9" s="39">
        <f t="shared" si="1"/>
        <v>1250</v>
      </c>
      <c r="AD9" s="39">
        <f t="shared" si="1"/>
        <v>625</v>
      </c>
      <c r="AE9" s="39">
        <f t="shared" si="1"/>
        <v>625</v>
      </c>
      <c r="AF9" s="39">
        <f t="shared" si="1"/>
        <v>1250</v>
      </c>
      <c r="AG9" s="39">
        <f t="shared" si="1"/>
        <v>1875</v>
      </c>
      <c r="AH9" s="39">
        <f t="shared" si="1"/>
        <v>250</v>
      </c>
      <c r="AI9" s="39">
        <f t="shared" si="1"/>
        <v>562.5</v>
      </c>
      <c r="AJ9" s="39">
        <f t="shared" si="1"/>
        <v>1250</v>
      </c>
      <c r="AK9" s="39">
        <f t="shared" si="1"/>
        <v>3125</v>
      </c>
      <c r="AL9" s="39">
        <f t="shared" si="1"/>
        <v>1250</v>
      </c>
    </row>
    <row r="10" spans="1:44" s="18" customFormat="1" x14ac:dyDescent="0.2">
      <c r="A10" s="1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</row>
    <row r="11" spans="1:44" s="1" customFormat="1" x14ac:dyDescent="0.2">
      <c r="A11" s="4" t="s">
        <v>3</v>
      </c>
      <c r="B11" s="40">
        <f>B8-B9</f>
        <v>1000</v>
      </c>
      <c r="C11" s="40">
        <f>C8-C9</f>
        <v>1000</v>
      </c>
      <c r="D11" s="40">
        <f t="shared" ref="D11:AL11" si="2">D8-D9</f>
        <v>1000</v>
      </c>
      <c r="E11" s="40">
        <f t="shared" si="2"/>
        <v>500</v>
      </c>
      <c r="F11" s="40">
        <f t="shared" si="2"/>
        <v>500</v>
      </c>
      <c r="G11" s="40">
        <f t="shared" si="2"/>
        <v>0</v>
      </c>
      <c r="H11" s="40">
        <f t="shared" si="2"/>
        <v>-500</v>
      </c>
      <c r="I11" s="40">
        <f t="shared" si="2"/>
        <v>800</v>
      </c>
      <c r="J11" s="40">
        <f>J8-J9</f>
        <v>550</v>
      </c>
      <c r="K11" s="40">
        <f t="shared" si="2"/>
        <v>0</v>
      </c>
      <c r="L11" s="40">
        <f t="shared" si="2"/>
        <v>500</v>
      </c>
      <c r="M11" s="40">
        <f t="shared" si="2"/>
        <v>500</v>
      </c>
      <c r="N11" s="40">
        <f t="shared" si="2"/>
        <v>0</v>
      </c>
      <c r="O11" s="40">
        <f t="shared" si="2"/>
        <v>-500</v>
      </c>
      <c r="P11" s="40">
        <f t="shared" si="2"/>
        <v>2050</v>
      </c>
      <c r="Q11" s="40">
        <f t="shared" si="2"/>
        <v>1800</v>
      </c>
      <c r="R11" s="40">
        <f t="shared" si="2"/>
        <v>250</v>
      </c>
      <c r="S11" s="40">
        <f t="shared" si="2"/>
        <v>-1250</v>
      </c>
      <c r="T11" s="40">
        <f t="shared" si="2"/>
        <v>250</v>
      </c>
      <c r="U11" s="40">
        <f t="shared" si="2"/>
        <v>1250</v>
      </c>
      <c r="V11" s="40">
        <f t="shared" si="2"/>
        <v>1250</v>
      </c>
      <c r="W11" s="40">
        <f t="shared" si="2"/>
        <v>625</v>
      </c>
      <c r="X11" s="40">
        <f t="shared" si="2"/>
        <v>625</v>
      </c>
      <c r="Y11" s="40">
        <f t="shared" si="2"/>
        <v>0</v>
      </c>
      <c r="Z11" s="40">
        <f t="shared" si="2"/>
        <v>-625</v>
      </c>
      <c r="AA11" s="40">
        <f t="shared" si="2"/>
        <v>1000</v>
      </c>
      <c r="AB11" s="40">
        <f t="shared" si="2"/>
        <v>687.5</v>
      </c>
      <c r="AC11" s="40">
        <f t="shared" si="2"/>
        <v>0</v>
      </c>
      <c r="AD11" s="40">
        <f t="shared" si="2"/>
        <v>625</v>
      </c>
      <c r="AE11" s="40">
        <f t="shared" si="2"/>
        <v>625</v>
      </c>
      <c r="AF11" s="40">
        <f t="shared" si="2"/>
        <v>-1250</v>
      </c>
      <c r="AG11" s="40">
        <f t="shared" si="2"/>
        <v>-1875</v>
      </c>
      <c r="AH11" s="40">
        <f t="shared" si="2"/>
        <v>-250</v>
      </c>
      <c r="AI11" s="40">
        <f t="shared" si="2"/>
        <v>-562.5</v>
      </c>
      <c r="AJ11" s="40">
        <f t="shared" si="2"/>
        <v>-1250</v>
      </c>
      <c r="AK11" s="40">
        <f t="shared" si="2"/>
        <v>-3125</v>
      </c>
      <c r="AL11" s="40">
        <f t="shared" si="2"/>
        <v>-1250</v>
      </c>
      <c r="AN11" s="1" t="s">
        <v>35</v>
      </c>
      <c r="AO11" s="51">
        <f>SUM(B11:AL11)</f>
        <v>4950</v>
      </c>
    </row>
    <row r="12" spans="1:44" x14ac:dyDescent="0.2">
      <c r="A12" s="1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</row>
    <row r="13" spans="1:44" s="24" customFormat="1" x14ac:dyDescent="0.2">
      <c r="A13" s="14" t="s">
        <v>4</v>
      </c>
      <c r="B13" s="41"/>
      <c r="C13" s="41"/>
      <c r="D13" s="41"/>
      <c r="E13" s="41"/>
      <c r="F13" s="41"/>
      <c r="G13" s="41"/>
      <c r="H13" s="41">
        <v>500</v>
      </c>
      <c r="I13" s="41"/>
      <c r="J13" s="41"/>
      <c r="K13" s="41"/>
      <c r="L13" s="41"/>
      <c r="M13" s="41"/>
      <c r="N13" s="41"/>
      <c r="O13" s="41">
        <v>500</v>
      </c>
      <c r="P13" s="41"/>
      <c r="Q13" s="41"/>
      <c r="R13" s="41"/>
      <c r="S13" s="41">
        <v>560</v>
      </c>
      <c r="T13" s="41"/>
      <c r="U13" s="41"/>
      <c r="V13" s="41"/>
      <c r="W13" s="41"/>
      <c r="X13" s="41"/>
      <c r="Y13" s="41"/>
      <c r="Z13" s="41">
        <v>560</v>
      </c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N13" s="24" t="s">
        <v>36</v>
      </c>
      <c r="AO13" s="53">
        <f>SUM(B13:AL13)</f>
        <v>2120</v>
      </c>
    </row>
    <row r="14" spans="1:44" x14ac:dyDescent="0.2">
      <c r="A14" s="13" t="s">
        <v>5</v>
      </c>
      <c r="B14" s="31"/>
      <c r="C14" s="31"/>
      <c r="D14" s="31"/>
      <c r="E14" s="31"/>
      <c r="F14" s="31"/>
      <c r="G14" s="31"/>
      <c r="H14" s="31">
        <f>G14+H13-H17</f>
        <v>500</v>
      </c>
      <c r="I14" s="31">
        <f t="shared" ref="I14:AG14" si="3">H14+I13-I17</f>
        <v>500</v>
      </c>
      <c r="J14" s="31">
        <f t="shared" si="3"/>
        <v>500</v>
      </c>
      <c r="K14" s="31">
        <f t="shared" si="3"/>
        <v>500</v>
      </c>
      <c r="L14" s="31">
        <f t="shared" si="3"/>
        <v>500</v>
      </c>
      <c r="M14" s="31">
        <f t="shared" si="3"/>
        <v>500</v>
      </c>
      <c r="N14" s="31">
        <f t="shared" si="3"/>
        <v>500</v>
      </c>
      <c r="O14" s="31">
        <f t="shared" si="3"/>
        <v>1000</v>
      </c>
      <c r="P14" s="31">
        <f t="shared" si="3"/>
        <v>1000</v>
      </c>
      <c r="Q14" s="31">
        <f t="shared" si="3"/>
        <v>1000</v>
      </c>
      <c r="R14" s="31">
        <f t="shared" si="3"/>
        <v>1000</v>
      </c>
      <c r="S14" s="31">
        <f t="shared" si="3"/>
        <v>1560</v>
      </c>
      <c r="T14" s="31">
        <f t="shared" si="3"/>
        <v>1560</v>
      </c>
      <c r="U14" s="31">
        <f t="shared" si="3"/>
        <v>1560</v>
      </c>
      <c r="V14" s="31">
        <f t="shared" si="3"/>
        <v>1560</v>
      </c>
      <c r="W14" s="31">
        <f t="shared" si="3"/>
        <v>1560</v>
      </c>
      <c r="X14" s="31">
        <f t="shared" si="3"/>
        <v>1560</v>
      </c>
      <c r="Y14" s="31">
        <f t="shared" si="3"/>
        <v>1560</v>
      </c>
      <c r="Z14" s="31">
        <f t="shared" si="3"/>
        <v>2120</v>
      </c>
      <c r="AA14" s="31">
        <f t="shared" si="3"/>
        <v>2120</v>
      </c>
      <c r="AB14" s="31">
        <f t="shared" si="3"/>
        <v>2120</v>
      </c>
      <c r="AC14" s="31">
        <f t="shared" si="3"/>
        <v>2120</v>
      </c>
      <c r="AD14" s="31">
        <f>AC14+AD13-AD17</f>
        <v>1060</v>
      </c>
      <c r="AE14" s="31">
        <f t="shared" si="3"/>
        <v>0</v>
      </c>
      <c r="AF14" s="31">
        <f t="shared" si="3"/>
        <v>0</v>
      </c>
      <c r="AG14" s="31">
        <f t="shared" si="3"/>
        <v>0</v>
      </c>
      <c r="AH14" s="31"/>
      <c r="AI14" s="31"/>
      <c r="AJ14" s="31"/>
      <c r="AK14" s="31"/>
      <c r="AL14" s="31"/>
      <c r="AN14" t="s">
        <v>37</v>
      </c>
      <c r="AO14" s="49"/>
      <c r="AQ14" s="46" t="s">
        <v>31</v>
      </c>
      <c r="AR14" s="52">
        <f>AO17+AO16</f>
        <v>2399.6</v>
      </c>
    </row>
    <row r="15" spans="1:44" x14ac:dyDescent="0.2">
      <c r="A15" s="13" t="s">
        <v>6</v>
      </c>
      <c r="B15" s="31"/>
      <c r="C15" s="31"/>
      <c r="D15" s="31"/>
      <c r="E15" s="31"/>
      <c r="F15" s="31"/>
      <c r="G15" s="31"/>
      <c r="H15" s="31">
        <f>(H14*($B$32/100))/12</f>
        <v>5</v>
      </c>
      <c r="I15" s="31">
        <f t="shared" ref="I15:AG15" si="4">(I14*($B$32/100))/12</f>
        <v>5</v>
      </c>
      <c r="J15" s="31">
        <f t="shared" si="4"/>
        <v>5</v>
      </c>
      <c r="K15" s="31">
        <f t="shared" si="4"/>
        <v>5</v>
      </c>
      <c r="L15" s="31">
        <f t="shared" si="4"/>
        <v>5</v>
      </c>
      <c r="M15" s="31">
        <f t="shared" si="4"/>
        <v>5</v>
      </c>
      <c r="N15" s="31">
        <f t="shared" si="4"/>
        <v>5</v>
      </c>
      <c r="O15" s="31">
        <f t="shared" si="4"/>
        <v>10</v>
      </c>
      <c r="P15" s="31">
        <f t="shared" si="4"/>
        <v>10</v>
      </c>
      <c r="Q15" s="31">
        <f t="shared" si="4"/>
        <v>10</v>
      </c>
      <c r="R15" s="31">
        <f t="shared" si="4"/>
        <v>10</v>
      </c>
      <c r="S15" s="31">
        <f t="shared" si="4"/>
        <v>15.6</v>
      </c>
      <c r="T15" s="31">
        <f t="shared" si="4"/>
        <v>15.6</v>
      </c>
      <c r="U15" s="31">
        <f t="shared" si="4"/>
        <v>15.6</v>
      </c>
      <c r="V15" s="31">
        <f t="shared" si="4"/>
        <v>15.6</v>
      </c>
      <c r="W15" s="31">
        <f t="shared" si="4"/>
        <v>15.6</v>
      </c>
      <c r="X15" s="31">
        <f t="shared" si="4"/>
        <v>15.6</v>
      </c>
      <c r="Y15" s="31">
        <f t="shared" si="4"/>
        <v>15.6</v>
      </c>
      <c r="Z15" s="31">
        <f t="shared" si="4"/>
        <v>21.2</v>
      </c>
      <c r="AA15" s="31">
        <f t="shared" si="4"/>
        <v>21.2</v>
      </c>
      <c r="AB15" s="31">
        <f t="shared" si="4"/>
        <v>21.2</v>
      </c>
      <c r="AC15" s="31">
        <f t="shared" si="4"/>
        <v>21.2</v>
      </c>
      <c r="AD15" s="31">
        <f t="shared" si="4"/>
        <v>10.6</v>
      </c>
      <c r="AE15" s="31">
        <f t="shared" si="4"/>
        <v>0</v>
      </c>
      <c r="AF15" s="31">
        <f t="shared" si="4"/>
        <v>0</v>
      </c>
      <c r="AG15" s="31">
        <f t="shared" si="4"/>
        <v>0</v>
      </c>
      <c r="AH15" s="31"/>
      <c r="AI15" s="31"/>
      <c r="AJ15" s="31"/>
      <c r="AK15" s="31"/>
      <c r="AL15" s="31"/>
      <c r="AO15" s="49"/>
    </row>
    <row r="16" spans="1:44" x14ac:dyDescent="0.2">
      <c r="A16" s="13" t="s">
        <v>7</v>
      </c>
      <c r="B16" s="32"/>
      <c r="C16" s="32"/>
      <c r="D16" s="32"/>
      <c r="E16" s="32"/>
      <c r="F16" s="32"/>
      <c r="G16" s="32"/>
      <c r="H16" s="32">
        <f>G15</f>
        <v>0</v>
      </c>
      <c r="I16" s="32">
        <f t="shared" ref="I16:AE16" si="5">H15</f>
        <v>5</v>
      </c>
      <c r="J16" s="32">
        <f t="shared" si="5"/>
        <v>5</v>
      </c>
      <c r="K16" s="32">
        <f t="shared" si="5"/>
        <v>5</v>
      </c>
      <c r="L16" s="32">
        <f t="shared" si="5"/>
        <v>5</v>
      </c>
      <c r="M16" s="32">
        <f t="shared" si="5"/>
        <v>5</v>
      </c>
      <c r="N16" s="32">
        <f t="shared" si="5"/>
        <v>5</v>
      </c>
      <c r="O16" s="32">
        <f t="shared" si="5"/>
        <v>5</v>
      </c>
      <c r="P16" s="32">
        <f t="shared" si="5"/>
        <v>10</v>
      </c>
      <c r="Q16" s="32">
        <f t="shared" si="5"/>
        <v>10</v>
      </c>
      <c r="R16" s="32">
        <f t="shared" si="5"/>
        <v>10</v>
      </c>
      <c r="S16" s="32">
        <f t="shared" si="5"/>
        <v>10</v>
      </c>
      <c r="T16" s="32">
        <f t="shared" si="5"/>
        <v>15.6</v>
      </c>
      <c r="U16" s="32">
        <f t="shared" si="5"/>
        <v>15.6</v>
      </c>
      <c r="V16" s="32">
        <f t="shared" si="5"/>
        <v>15.6</v>
      </c>
      <c r="W16" s="32">
        <f t="shared" si="5"/>
        <v>15.6</v>
      </c>
      <c r="X16" s="32">
        <f t="shared" si="5"/>
        <v>15.6</v>
      </c>
      <c r="Y16" s="32">
        <f t="shared" si="5"/>
        <v>15.6</v>
      </c>
      <c r="Z16" s="32">
        <f t="shared" si="5"/>
        <v>15.6</v>
      </c>
      <c r="AA16" s="32">
        <f t="shared" si="5"/>
        <v>21.2</v>
      </c>
      <c r="AB16" s="32">
        <f t="shared" si="5"/>
        <v>21.2</v>
      </c>
      <c r="AC16" s="32">
        <f t="shared" si="5"/>
        <v>21.2</v>
      </c>
      <c r="AD16" s="32">
        <f t="shared" si="5"/>
        <v>21.2</v>
      </c>
      <c r="AE16" s="32">
        <f t="shared" si="5"/>
        <v>10.6</v>
      </c>
      <c r="AF16" s="32">
        <f>AE15</f>
        <v>0</v>
      </c>
      <c r="AG16" s="32">
        <f>AF15</f>
        <v>0</v>
      </c>
      <c r="AH16" s="31"/>
      <c r="AI16" s="31"/>
      <c r="AJ16" s="31"/>
      <c r="AK16" s="31"/>
      <c r="AL16" s="31"/>
      <c r="AN16" t="s">
        <v>38</v>
      </c>
      <c r="AO16" s="49">
        <f>SUM(B16:AL16)</f>
        <v>279.59999999999997</v>
      </c>
    </row>
    <row r="17" spans="1:43" x14ac:dyDescent="0.2">
      <c r="A17" s="13" t="s">
        <v>8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42"/>
      <c r="AC17" s="42"/>
      <c r="AD17" s="35">
        <f>AC14/2</f>
        <v>1060</v>
      </c>
      <c r="AE17" s="35">
        <f>AD14</f>
        <v>1060</v>
      </c>
      <c r="AF17" s="35"/>
      <c r="AG17" s="35"/>
      <c r="AH17" s="42"/>
      <c r="AI17" s="42"/>
      <c r="AJ17" s="42"/>
      <c r="AK17" s="42"/>
      <c r="AL17" s="42"/>
      <c r="AN17" t="s">
        <v>39</v>
      </c>
      <c r="AO17" s="49">
        <f>SUM(B17:AL17)</f>
        <v>2120</v>
      </c>
    </row>
    <row r="18" spans="1:43" s="18" customFormat="1" x14ac:dyDescent="0.2">
      <c r="A18" s="1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1:43" s="1" customFormat="1" x14ac:dyDescent="0.2">
      <c r="A19" s="4" t="s">
        <v>9</v>
      </c>
      <c r="B19" s="40">
        <f>B11+B13-B16-B17</f>
        <v>1000</v>
      </c>
      <c r="C19" s="40">
        <f>C11+C13-C16-C17</f>
        <v>1000</v>
      </c>
      <c r="D19" s="40">
        <f t="shared" ref="D19:AL19" si="6">D11+D13-D16-D17</f>
        <v>1000</v>
      </c>
      <c r="E19" s="40">
        <f t="shared" si="6"/>
        <v>500</v>
      </c>
      <c r="F19" s="40">
        <f t="shared" si="6"/>
        <v>500</v>
      </c>
      <c r="G19" s="40">
        <f t="shared" si="6"/>
        <v>0</v>
      </c>
      <c r="H19" s="40">
        <f t="shared" si="6"/>
        <v>0</v>
      </c>
      <c r="I19" s="40">
        <f t="shared" si="6"/>
        <v>795</v>
      </c>
      <c r="J19" s="40">
        <f>J11+J13-J16-J17</f>
        <v>545</v>
      </c>
      <c r="K19" s="40">
        <f t="shared" si="6"/>
        <v>-5</v>
      </c>
      <c r="L19" s="40">
        <f t="shared" si="6"/>
        <v>495</v>
      </c>
      <c r="M19" s="40">
        <f t="shared" si="6"/>
        <v>495</v>
      </c>
      <c r="N19" s="40">
        <f t="shared" si="6"/>
        <v>-5</v>
      </c>
      <c r="O19" s="40">
        <f t="shared" si="6"/>
        <v>-5</v>
      </c>
      <c r="P19" s="40">
        <f t="shared" si="6"/>
        <v>2040</v>
      </c>
      <c r="Q19" s="40">
        <f t="shared" si="6"/>
        <v>1790</v>
      </c>
      <c r="R19" s="40">
        <f t="shared" si="6"/>
        <v>240</v>
      </c>
      <c r="S19" s="40">
        <f t="shared" si="6"/>
        <v>-700</v>
      </c>
      <c r="T19" s="40">
        <f t="shared" si="6"/>
        <v>234.4</v>
      </c>
      <c r="U19" s="40">
        <f t="shared" si="6"/>
        <v>1234.4000000000001</v>
      </c>
      <c r="V19" s="40">
        <f t="shared" si="6"/>
        <v>1234.4000000000001</v>
      </c>
      <c r="W19" s="40">
        <f t="shared" si="6"/>
        <v>609.4</v>
      </c>
      <c r="X19" s="40">
        <f t="shared" si="6"/>
        <v>609.4</v>
      </c>
      <c r="Y19" s="40">
        <f t="shared" si="6"/>
        <v>-15.6</v>
      </c>
      <c r="Z19" s="40">
        <f t="shared" si="6"/>
        <v>-80.599999999999994</v>
      </c>
      <c r="AA19" s="40">
        <f t="shared" si="6"/>
        <v>978.8</v>
      </c>
      <c r="AB19" s="40">
        <f t="shared" si="6"/>
        <v>666.3</v>
      </c>
      <c r="AC19" s="40">
        <f t="shared" si="6"/>
        <v>-21.2</v>
      </c>
      <c r="AD19" s="40">
        <f t="shared" si="6"/>
        <v>-456.20000000000005</v>
      </c>
      <c r="AE19" s="40">
        <f t="shared" si="6"/>
        <v>-445.6</v>
      </c>
      <c r="AF19" s="40">
        <f t="shared" si="6"/>
        <v>-1250</v>
      </c>
      <c r="AG19" s="40">
        <f t="shared" si="6"/>
        <v>-1875</v>
      </c>
      <c r="AH19" s="40">
        <f t="shared" si="6"/>
        <v>-250</v>
      </c>
      <c r="AI19" s="40">
        <f t="shared" si="6"/>
        <v>-562.5</v>
      </c>
      <c r="AJ19" s="40">
        <f t="shared" si="6"/>
        <v>-1250</v>
      </c>
      <c r="AK19" s="40">
        <f t="shared" si="6"/>
        <v>-3125</v>
      </c>
      <c r="AL19" s="40">
        <f t="shared" si="6"/>
        <v>-1250</v>
      </c>
      <c r="AN19" s="1" t="s">
        <v>40</v>
      </c>
      <c r="AO19" s="51">
        <f>SUM(B19:AL19)</f>
        <v>4670.3999999999942</v>
      </c>
      <c r="AQ19" s="1" t="s">
        <v>41</v>
      </c>
    </row>
    <row r="20" spans="1:43" s="18" customFormat="1" x14ac:dyDescent="0.2">
      <c r="A20" s="1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spans="1:43" s="24" customFormat="1" x14ac:dyDescent="0.2">
      <c r="A21" s="14" t="s">
        <v>10</v>
      </c>
      <c r="B21" s="43"/>
      <c r="C21" s="43"/>
      <c r="D21" s="43"/>
      <c r="E21" s="43"/>
      <c r="F21" s="43"/>
      <c r="G21" s="43"/>
      <c r="H21" s="43"/>
      <c r="I21" s="43"/>
      <c r="J21" s="43"/>
      <c r="K21" s="43">
        <v>5</v>
      </c>
      <c r="L21" s="43"/>
      <c r="M21" s="43"/>
      <c r="N21" s="43">
        <v>5</v>
      </c>
      <c r="O21" s="43">
        <v>5</v>
      </c>
      <c r="P21" s="43"/>
      <c r="Q21" s="43"/>
      <c r="R21" s="43"/>
      <c r="S21" s="43">
        <v>700</v>
      </c>
      <c r="T21" s="43"/>
      <c r="U21" s="43"/>
      <c r="V21" s="43"/>
      <c r="W21" s="43"/>
      <c r="X21" s="43"/>
      <c r="Y21" s="43">
        <v>15.6</v>
      </c>
      <c r="Z21" s="43">
        <v>80.599999999999994</v>
      </c>
      <c r="AA21" s="43"/>
      <c r="AB21" s="44"/>
      <c r="AC21" s="43">
        <v>21.2</v>
      </c>
      <c r="AD21" s="43">
        <v>456.2</v>
      </c>
      <c r="AE21" s="43">
        <v>445.6</v>
      </c>
      <c r="AF21" s="43">
        <v>1250</v>
      </c>
      <c r="AG21" s="43">
        <v>1875</v>
      </c>
      <c r="AH21" s="43">
        <v>250</v>
      </c>
      <c r="AI21" s="43">
        <v>562.5</v>
      </c>
      <c r="AJ21" s="43">
        <v>1250</v>
      </c>
      <c r="AK21" s="43">
        <v>3125</v>
      </c>
      <c r="AL21" s="43">
        <v>1250</v>
      </c>
      <c r="AN21" s="24" t="s">
        <v>25</v>
      </c>
      <c r="AO21" s="53">
        <f>SUM(B21:AL21)</f>
        <v>11296.7</v>
      </c>
    </row>
    <row r="22" spans="1:43" s="18" customFormat="1" x14ac:dyDescent="0.2">
      <c r="A22" s="1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pans="1:43" s="1" customFormat="1" x14ac:dyDescent="0.2">
      <c r="A23" s="19" t="s">
        <v>11</v>
      </c>
      <c r="B23" s="45">
        <f>B19+B21</f>
        <v>1000</v>
      </c>
      <c r="C23" s="45">
        <f t="shared" ref="C23:AL23" si="7">C19+C21</f>
        <v>1000</v>
      </c>
      <c r="D23" s="45">
        <f t="shared" si="7"/>
        <v>1000</v>
      </c>
      <c r="E23" s="45">
        <f t="shared" si="7"/>
        <v>500</v>
      </c>
      <c r="F23" s="45">
        <f t="shared" si="7"/>
        <v>500</v>
      </c>
      <c r="G23" s="45">
        <f t="shared" si="7"/>
        <v>0</v>
      </c>
      <c r="H23" s="45">
        <f t="shared" si="7"/>
        <v>0</v>
      </c>
      <c r="I23" s="45">
        <f t="shared" si="7"/>
        <v>795</v>
      </c>
      <c r="J23" s="45">
        <f t="shared" si="7"/>
        <v>545</v>
      </c>
      <c r="K23" s="45">
        <f t="shared" si="7"/>
        <v>0</v>
      </c>
      <c r="L23" s="45">
        <f t="shared" si="7"/>
        <v>495</v>
      </c>
      <c r="M23" s="45">
        <f t="shared" si="7"/>
        <v>495</v>
      </c>
      <c r="N23" s="45">
        <f t="shared" si="7"/>
        <v>0</v>
      </c>
      <c r="O23" s="45">
        <f t="shared" si="7"/>
        <v>0</v>
      </c>
      <c r="P23" s="45">
        <f t="shared" si="7"/>
        <v>2040</v>
      </c>
      <c r="Q23" s="45">
        <f t="shared" si="7"/>
        <v>1790</v>
      </c>
      <c r="R23" s="45">
        <f t="shared" si="7"/>
        <v>240</v>
      </c>
      <c r="S23" s="45">
        <f t="shared" si="7"/>
        <v>0</v>
      </c>
      <c r="T23" s="45">
        <f t="shared" si="7"/>
        <v>234.4</v>
      </c>
      <c r="U23" s="45">
        <f t="shared" si="7"/>
        <v>1234.4000000000001</v>
      </c>
      <c r="V23" s="45">
        <f t="shared" si="7"/>
        <v>1234.4000000000001</v>
      </c>
      <c r="W23" s="45">
        <f t="shared" si="7"/>
        <v>609.4</v>
      </c>
      <c r="X23" s="45">
        <f t="shared" si="7"/>
        <v>609.4</v>
      </c>
      <c r="Y23" s="45">
        <f t="shared" si="7"/>
        <v>0</v>
      </c>
      <c r="Z23" s="45">
        <f t="shared" si="7"/>
        <v>0</v>
      </c>
      <c r="AA23" s="45">
        <f t="shared" si="7"/>
        <v>978.8</v>
      </c>
      <c r="AB23" s="45">
        <f t="shared" si="7"/>
        <v>666.3</v>
      </c>
      <c r="AC23" s="45">
        <f t="shared" si="7"/>
        <v>0</v>
      </c>
      <c r="AD23" s="45">
        <f t="shared" si="7"/>
        <v>0</v>
      </c>
      <c r="AE23" s="45">
        <f t="shared" si="7"/>
        <v>0</v>
      </c>
      <c r="AF23" s="45">
        <f t="shared" si="7"/>
        <v>0</v>
      </c>
      <c r="AG23" s="45">
        <f t="shared" si="7"/>
        <v>0</v>
      </c>
      <c r="AH23" s="45">
        <f t="shared" si="7"/>
        <v>0</v>
      </c>
      <c r="AI23" s="45">
        <f t="shared" si="7"/>
        <v>0</v>
      </c>
      <c r="AJ23" s="45">
        <f t="shared" si="7"/>
        <v>0</v>
      </c>
      <c r="AK23" s="45">
        <f t="shared" si="7"/>
        <v>0</v>
      </c>
      <c r="AL23" s="45">
        <f t="shared" si="7"/>
        <v>0</v>
      </c>
      <c r="AN23" s="1" t="s">
        <v>23</v>
      </c>
      <c r="AO23" s="51">
        <f>SUM(B23:AL23)</f>
        <v>15967.099999999997</v>
      </c>
    </row>
    <row r="26" spans="1:43" x14ac:dyDescent="0.2">
      <c r="AN26" t="s">
        <v>41</v>
      </c>
      <c r="AO26" s="49">
        <f>AO23-AO21</f>
        <v>4670.399999999996</v>
      </c>
    </row>
    <row r="27" spans="1:43" x14ac:dyDescent="0.2">
      <c r="A27" s="25" t="s">
        <v>14</v>
      </c>
      <c r="B27" s="26"/>
    </row>
    <row r="28" spans="1:43" x14ac:dyDescent="0.2">
      <c r="A28" s="15" t="s">
        <v>15</v>
      </c>
      <c r="B28" s="9">
        <v>7000</v>
      </c>
    </row>
    <row r="29" spans="1:43" x14ac:dyDescent="0.2">
      <c r="A29" s="15" t="s">
        <v>16</v>
      </c>
      <c r="B29" s="9">
        <v>8</v>
      </c>
      <c r="D29" s="16" t="s">
        <v>20</v>
      </c>
      <c r="E29" s="23">
        <f>B28*(B29/100)</f>
        <v>560</v>
      </c>
    </row>
    <row r="30" spans="1:43" x14ac:dyDescent="0.2">
      <c r="A30" s="15" t="s">
        <v>17</v>
      </c>
      <c r="B30" s="9">
        <v>7</v>
      </c>
    </row>
    <row r="31" spans="1:43" x14ac:dyDescent="0.2">
      <c r="A31" s="15" t="s">
        <v>18</v>
      </c>
      <c r="B31" s="9">
        <v>30</v>
      </c>
    </row>
    <row r="32" spans="1:43" x14ac:dyDescent="0.2">
      <c r="A32" s="15" t="s">
        <v>19</v>
      </c>
      <c r="B32" s="9">
        <v>12</v>
      </c>
    </row>
  </sheetData>
  <mergeCells count="3">
    <mergeCell ref="A3:A4"/>
    <mergeCell ref="A5:A6"/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Ejemplo</vt:lpstr>
      <vt:lpstr>Ejemplo 2</vt:lpstr>
      <vt:lpstr>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Leonardo Leguízamo Daza</dc:creator>
  <cp:lastModifiedBy>Nicolás Leonardo Leguízamo Daza</cp:lastModifiedBy>
  <dcterms:created xsi:type="dcterms:W3CDTF">2025-11-05T16:49:17Z</dcterms:created>
  <dcterms:modified xsi:type="dcterms:W3CDTF">2025-11-06T05:02:29Z</dcterms:modified>
</cp:coreProperties>
</file>